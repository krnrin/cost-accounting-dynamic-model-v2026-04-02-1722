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44"/>
  </bookViews>
  <sheets>
    <sheet name="P162大电池包" sheetId="3" r:id="rId1"/>
  </sheets>
  <definedNames>
    <definedName name="_xlnm._FilterDatabase" localSheetId="0" hidden="1">P162大电池包!$A$8:$H$49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" i="3" l="1"/>
  <c r="D28" i="3"/>
  <c r="G28" i="3" s="1"/>
  <c r="G33" i="3"/>
  <c r="G32" i="3"/>
  <c r="G14" i="3"/>
  <c r="G9" i="3"/>
  <c r="G10" i="3"/>
  <c r="G13" i="3"/>
  <c r="G16" i="3"/>
  <c r="G17" i="3"/>
  <c r="G18" i="3"/>
  <c r="G19" i="3"/>
  <c r="G20" i="3"/>
  <c r="G21" i="3"/>
  <c r="G22" i="3"/>
  <c r="D23" i="3"/>
  <c r="G23" i="3" s="1"/>
  <c r="D24" i="3"/>
  <c r="G24" i="3" s="1"/>
  <c r="D25" i="3"/>
  <c r="G25" i="3" s="1"/>
  <c r="G26" i="3"/>
  <c r="D27" i="3"/>
  <c r="G27" i="3" s="1"/>
  <c r="G29" i="3"/>
  <c r="G30" i="3"/>
  <c r="G31" i="3"/>
  <c r="G34" i="3"/>
  <c r="G36" i="3"/>
  <c r="G37" i="3"/>
  <c r="G40" i="3"/>
  <c r="G41" i="3"/>
  <c r="G42" i="3"/>
  <c r="G43" i="3"/>
  <c r="G44" i="3"/>
  <c r="G46" i="3" l="1"/>
  <c r="G47" i="3" s="1"/>
</calcChain>
</file>

<file path=xl/comments1.xml><?xml version="1.0" encoding="utf-8"?>
<comments xmlns="http://schemas.openxmlformats.org/spreadsheetml/2006/main">
  <authors>
    <author>作者</author>
  </authors>
  <commentList>
    <comment ref="H7" authorId="0" shapeId="0">
      <text>
        <r>
          <rPr>
            <b/>
            <sz val="9"/>
            <color indexed="81"/>
            <rFont val="Tahoma"/>
            <family val="2"/>
          </rPr>
          <t>DA009_(</t>
        </r>
        <r>
          <rPr>
            <b/>
            <sz val="9"/>
            <color indexed="81"/>
            <rFont val="宋体"/>
            <family val="3"/>
            <charset val="134"/>
          </rPr>
          <t>项目代号</t>
        </r>
        <r>
          <rPr>
            <b/>
            <sz val="9"/>
            <color indexed="81"/>
            <rFont val="Tahoma"/>
            <family val="2"/>
          </rPr>
          <t>)_</t>
        </r>
        <r>
          <rPr>
            <b/>
            <sz val="9"/>
            <color indexed="81"/>
            <rFont val="宋体"/>
            <family val="3"/>
            <charset val="134"/>
          </rPr>
          <t>（流水号</t>
        </r>
        <r>
          <rPr>
            <b/>
            <sz val="9"/>
            <color indexed="81"/>
            <rFont val="Tahoma"/>
            <family val="2"/>
          </rPr>
          <t>:1</t>
        </r>
        <r>
          <rPr>
            <b/>
            <sz val="9"/>
            <color indexed="81"/>
            <rFont val="宋体"/>
            <family val="3"/>
            <charset val="134"/>
          </rPr>
          <t>，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宋体"/>
            <family val="3"/>
            <charset val="134"/>
          </rPr>
          <t>，</t>
        </r>
        <r>
          <rPr>
            <b/>
            <sz val="9"/>
            <color indexed="81"/>
            <rFont val="Tahoma"/>
            <family val="2"/>
          </rPr>
          <t>3..</t>
        </r>
        <r>
          <rPr>
            <b/>
            <sz val="9"/>
            <color indexed="81"/>
            <rFont val="宋体"/>
            <family val="3"/>
            <charset val="134"/>
          </rPr>
          <t>）</t>
        </r>
      </text>
    </comment>
  </commentList>
</comments>
</file>

<file path=xl/sharedStrings.xml><?xml version="1.0" encoding="utf-8"?>
<sst xmlns="http://schemas.openxmlformats.org/spreadsheetml/2006/main" count="121" uniqueCount="92">
  <si>
    <t>客户名称:</t>
    <phoneticPr fontId="3" type="noConversion"/>
  </si>
  <si>
    <t>项目代号：</t>
    <phoneticPr fontId="3" type="noConversion"/>
  </si>
  <si>
    <t>开发地点:</t>
    <phoneticPr fontId="3" type="noConversion"/>
  </si>
  <si>
    <t>项目类型：</t>
    <phoneticPr fontId="3" type="noConversion"/>
  </si>
  <si>
    <t>高压项目</t>
    <phoneticPr fontId="3" type="noConversion"/>
  </si>
  <si>
    <t>开发开始时间:</t>
    <phoneticPr fontId="3" type="noConversion"/>
  </si>
  <si>
    <t>开发结束时间:</t>
    <phoneticPr fontId="3" type="noConversion"/>
  </si>
  <si>
    <t>开发人数(人):</t>
    <phoneticPr fontId="3" type="noConversion"/>
  </si>
  <si>
    <t>开发时间（月）</t>
    <phoneticPr fontId="3" type="noConversion"/>
  </si>
  <si>
    <t>报价时间</t>
    <phoneticPr fontId="3" type="noConversion"/>
  </si>
  <si>
    <t>报价有效期30天</t>
    <phoneticPr fontId="3" type="noConversion"/>
  </si>
  <si>
    <t>报价单号</t>
    <phoneticPr fontId="3" type="noConversion"/>
  </si>
  <si>
    <t>序号</t>
  </si>
  <si>
    <t>费用类别</t>
  </si>
  <si>
    <t>费用项目</t>
  </si>
  <si>
    <t>数量</t>
    <phoneticPr fontId="3" type="noConversion"/>
  </si>
  <si>
    <t>单位</t>
  </si>
  <si>
    <t>单价
（人民币）</t>
    <phoneticPr fontId="3" type="noConversion"/>
  </si>
  <si>
    <t>金额
（人民币）</t>
    <phoneticPr fontId="3" type="noConversion"/>
  </si>
  <si>
    <t>人员费用</t>
  </si>
  <si>
    <t>项目协调人</t>
  </si>
  <si>
    <t>H</t>
    <phoneticPr fontId="3" type="noConversion"/>
  </si>
  <si>
    <t>系统工程师</t>
  </si>
  <si>
    <t>三维工程师</t>
  </si>
  <si>
    <t>二维工程师</t>
  </si>
  <si>
    <t>现场工程师</t>
    <phoneticPr fontId="3" type="noConversion"/>
  </si>
  <si>
    <t>CAE工程师</t>
  </si>
  <si>
    <t>技师</t>
    <phoneticPr fontId="3" type="noConversion"/>
  </si>
  <si>
    <t>产品工程师</t>
    <phoneticPr fontId="3" type="noConversion"/>
  </si>
  <si>
    <t>工艺工程师</t>
    <phoneticPr fontId="3" type="noConversion"/>
  </si>
  <si>
    <t>工装工程师</t>
    <phoneticPr fontId="3" type="noConversion"/>
  </si>
  <si>
    <t>差旅费用</t>
  </si>
  <si>
    <t>Day</t>
    <phoneticPr fontId="3" type="noConversion"/>
  </si>
  <si>
    <t>交通费</t>
  </si>
  <si>
    <t>Month</t>
    <phoneticPr fontId="3" type="noConversion"/>
  </si>
  <si>
    <t>软件费用</t>
  </si>
  <si>
    <t>开发软件-CAD</t>
    <phoneticPr fontId="3" type="noConversion"/>
  </si>
  <si>
    <t>开发软件-Catia</t>
  </si>
  <si>
    <t>开发软件-NX</t>
    <phoneticPr fontId="3" type="noConversion"/>
  </si>
  <si>
    <t>开发软件-EB_Cable</t>
  </si>
  <si>
    <t>开发软件-Ldorado</t>
  </si>
  <si>
    <t>开发软件-Capital</t>
  </si>
  <si>
    <t>开发软件-Vesys</t>
  </si>
  <si>
    <t>CAE软件</t>
    <phoneticPr fontId="3" type="noConversion"/>
  </si>
  <si>
    <t>硬件费用</t>
  </si>
  <si>
    <t>笔记本</t>
  </si>
  <si>
    <t>Set</t>
    <phoneticPr fontId="3" type="noConversion"/>
  </si>
  <si>
    <t>台式工作站</t>
    <phoneticPr fontId="3" type="noConversion"/>
  </si>
  <si>
    <t>样线/样品费用</t>
    <phoneticPr fontId="3" type="noConversion"/>
  </si>
  <si>
    <t>手工样线</t>
    <phoneticPr fontId="3" type="noConversion"/>
  </si>
  <si>
    <t>Set</t>
    <phoneticPr fontId="3" type="noConversion"/>
  </si>
  <si>
    <t>性能测试费用（DV&amp;PV）</t>
    <phoneticPr fontId="3" type="noConversion"/>
  </si>
  <si>
    <t>PCS</t>
    <phoneticPr fontId="3" type="noConversion"/>
  </si>
  <si>
    <t>电气性能测试费用（DV）</t>
    <phoneticPr fontId="3" type="noConversion"/>
  </si>
  <si>
    <t>台架测试</t>
    <phoneticPr fontId="3" type="noConversion"/>
  </si>
  <si>
    <t>电流测试</t>
    <phoneticPr fontId="3" type="noConversion"/>
  </si>
  <si>
    <t>机械性能测试费用（DV）</t>
    <phoneticPr fontId="3" type="noConversion"/>
  </si>
  <si>
    <t>转向管柱耐久试验</t>
    <phoneticPr fontId="3" type="noConversion"/>
  </si>
  <si>
    <t>橡胶件弯折试验</t>
    <phoneticPr fontId="3" type="noConversion"/>
  </si>
  <si>
    <t>测试其他费用</t>
    <phoneticPr fontId="3" type="noConversion"/>
  </si>
  <si>
    <t>辅材费用</t>
    <phoneticPr fontId="3" type="noConversion"/>
  </si>
  <si>
    <t>物流费用</t>
    <phoneticPr fontId="3" type="noConversion"/>
  </si>
  <si>
    <t>法规类试验</t>
    <phoneticPr fontId="3" type="noConversion"/>
  </si>
  <si>
    <t>说明：所有实验项目，如客户指定第三方实验机构进行，以第三方实验机构的实际报价为准</t>
    <phoneticPr fontId="3" type="noConversion"/>
  </si>
  <si>
    <t>气味性试验费用</t>
    <phoneticPr fontId="3" type="noConversion"/>
  </si>
  <si>
    <t>管理费用</t>
    <phoneticPr fontId="3" type="noConversion"/>
  </si>
  <si>
    <t>费用总金额*5%</t>
    <phoneticPr fontId="3" type="noConversion"/>
  </si>
  <si>
    <t>合计</t>
  </si>
  <si>
    <t>编制/Editor：</t>
  </si>
  <si>
    <t>审核/Audit：</t>
    <phoneticPr fontId="3" type="noConversion"/>
  </si>
  <si>
    <t>批准/Approval：</t>
  </si>
  <si>
    <t>备注</t>
    <phoneticPr fontId="2" type="noConversion"/>
  </si>
  <si>
    <t>食宿</t>
    <phoneticPr fontId="2" type="noConversion"/>
  </si>
  <si>
    <t>VOC试验费用</t>
    <phoneticPr fontId="3" type="noConversion"/>
  </si>
  <si>
    <t>ELV试验费用</t>
    <phoneticPr fontId="3" type="noConversion"/>
  </si>
  <si>
    <t>REACH试验费用</t>
    <phoneticPr fontId="3" type="noConversion"/>
  </si>
  <si>
    <t>试验样线/样品费用</t>
    <phoneticPr fontId="3" type="noConversion"/>
  </si>
  <si>
    <t>端子调试样品</t>
    <phoneticPr fontId="2" type="noConversion"/>
  </si>
  <si>
    <t>PCS</t>
    <phoneticPr fontId="2" type="noConversion"/>
  </si>
  <si>
    <t>工艺2套、质量2套、工装1套、设备1套</t>
    <phoneticPr fontId="3" type="noConversion"/>
  </si>
  <si>
    <t>屏蔽环调试样品</t>
    <phoneticPr fontId="2" type="noConversion"/>
  </si>
  <si>
    <t>Year</t>
    <phoneticPr fontId="3" type="noConversion"/>
  </si>
  <si>
    <t>杭州</t>
    <phoneticPr fontId="2" type="noConversion"/>
  </si>
  <si>
    <t>DV实验费用（和客户确认不做PV）</t>
    <phoneticPr fontId="2" type="noConversion"/>
  </si>
  <si>
    <t>驱动线&amp;充电线DV实验</t>
    <phoneticPr fontId="2" type="noConversion"/>
  </si>
  <si>
    <t>开发费用报价清单</t>
    <phoneticPr fontId="3" type="noConversion"/>
  </si>
  <si>
    <t>一款端子调试50PCS，共计新增15款端子</t>
    <phoneticPr fontId="2" type="noConversion"/>
  </si>
  <si>
    <t>一款屏蔽环调试50PCS，共计新增9款屏蔽环</t>
    <phoneticPr fontId="2" type="noConversion"/>
  </si>
  <si>
    <t>吉利</t>
    <phoneticPr fontId="3" type="noConversion"/>
  </si>
  <si>
    <t>P162铜改铝</t>
    <phoneticPr fontId="3" type="noConversion"/>
  </si>
  <si>
    <t>DV实验样线，每套0.15万，以实际使用数量为准；</t>
    <phoneticPr fontId="3" type="noConversion"/>
  </si>
  <si>
    <t>备注：本报价仅针对单项目进行报价，为不含税价格，不包含延伸车型及年度车型。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</si>
</sst>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;@"/>
    <numFmt numFmtId="177" formatCode="0_);[Red]\(0\)"/>
    <numFmt numFmtId="178" formatCode="0_ "/>
  </numFmts>
  <fonts count="23">
    <font>
      <sz val="11"/>
      <color theme="1"/>
      <name val="等线"/>
      <family val="2"/>
      <scheme val="minor"/>
    </font>
    <font>
      <b/>
      <sz val="2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3"/>
      <charset val="134"/>
      <scheme val="minor"/>
    </font>
    <font>
      <sz val="14"/>
      <color theme="1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.5"/>
      <name val="等线"/>
      <family val="2"/>
      <scheme val="minor"/>
    </font>
    <font>
      <b/>
      <sz val="14"/>
      <name val="Arial Unicode MS"/>
      <family val="2"/>
      <charset val="134"/>
    </font>
    <font>
      <b/>
      <sz val="14"/>
      <color rgb="FF000000"/>
      <name val="宋体"/>
      <family val="3"/>
      <charset val="134"/>
    </font>
    <font>
      <sz val="14"/>
      <name val="等线"/>
      <family val="2"/>
      <scheme val="minor"/>
    </font>
    <font>
      <sz val="14"/>
      <name val="Arial Unicode MS"/>
      <family val="2"/>
      <charset val="134"/>
    </font>
    <font>
      <sz val="14"/>
      <color rgb="FF000000"/>
      <name val="宋体"/>
      <family val="3"/>
      <charset val="134"/>
    </font>
    <font>
      <sz val="14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theme="1"/>
      <name val="宋体"/>
      <family val="3"/>
      <charset val="134"/>
    </font>
    <font>
      <sz val="14"/>
      <color rgb="FF000000"/>
      <name val="Times New Roman"/>
      <family val="1"/>
    </font>
    <font>
      <b/>
      <sz val="14"/>
      <color theme="1"/>
      <name val="等线"/>
      <family val="2"/>
      <scheme val="minor"/>
    </font>
    <font>
      <sz val="14"/>
      <color theme="1"/>
      <name val="Arial Unicode MS"/>
      <family val="2"/>
      <charset val="134"/>
    </font>
    <font>
      <sz val="14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01">
    <xf numFmtId="0" fontId="0" fillId="0" borderId="0" xfId="0"/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6" fillId="0" borderId="8" xfId="0" applyFont="1" applyFill="1" applyBorder="1" applyAlignment="1">
      <alignment vertical="center"/>
    </xf>
    <xf numFmtId="0" fontId="0" fillId="0" borderId="0" xfId="0" applyAlignment="1">
      <alignment vertical="center"/>
    </xf>
    <xf numFmtId="176" fontId="7" fillId="2" borderId="8" xfId="0" applyNumberFormat="1" applyFont="1" applyFill="1" applyBorder="1" applyAlignment="1" applyProtection="1">
      <alignment horizontal="center" vertical="center"/>
      <protection locked="0"/>
    </xf>
    <xf numFmtId="0" fontId="7" fillId="0" borderId="8" xfId="0" applyFont="1" applyBorder="1" applyAlignment="1">
      <alignment horizontal="center" vertical="center"/>
    </xf>
    <xf numFmtId="177" fontId="7" fillId="0" borderId="8" xfId="0" applyNumberFormat="1" applyFont="1" applyFill="1" applyBorder="1" applyAlignment="1">
      <alignment horizontal="center" vertical="center"/>
    </xf>
    <xf numFmtId="177" fontId="7" fillId="2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8" xfId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1" fillId="0" borderId="0" xfId="1" applyFont="1"/>
    <xf numFmtId="0" fontId="12" fillId="0" borderId="8" xfId="1" applyFont="1" applyBorder="1" applyAlignment="1">
      <alignment horizontal="center" vertical="center"/>
    </xf>
    <xf numFmtId="0" fontId="13" fillId="0" borderId="8" xfId="0" applyFont="1" applyFill="1" applyBorder="1" applyAlignment="1">
      <alignment horizontal="left" vertical="center"/>
    </xf>
    <xf numFmtId="178" fontId="14" fillId="0" borderId="8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6" xfId="0" applyFont="1" applyFill="1" applyBorder="1" applyAlignment="1">
      <alignment horizontal="left" vertical="center"/>
    </xf>
    <xf numFmtId="0" fontId="15" fillId="2" borderId="8" xfId="0" applyFont="1" applyFill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1" fillId="0" borderId="0" xfId="1" applyFont="1" applyFill="1"/>
    <xf numFmtId="0" fontId="15" fillId="0" borderId="8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vertical="center"/>
    </xf>
    <xf numFmtId="0" fontId="15" fillId="0" borderId="8" xfId="0" applyFont="1" applyBorder="1" applyAlignment="1">
      <alignment horizontal="left" vertical="center" wrapText="1"/>
    </xf>
    <xf numFmtId="0" fontId="14" fillId="0" borderId="8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7" fillId="0" borderId="8" xfId="0" applyFont="1" applyBorder="1" applyAlignment="1">
      <alignment horizontal="left" vertical="center"/>
    </xf>
    <xf numFmtId="0" fontId="5" fillId="3" borderId="0" xfId="0" applyFont="1" applyFill="1" applyBorder="1" applyAlignment="1">
      <alignment vertical="center"/>
    </xf>
    <xf numFmtId="0" fontId="19" fillId="3" borderId="0" xfId="0" applyFont="1" applyFill="1" applyAlignment="1">
      <alignment vertical="center"/>
    </xf>
    <xf numFmtId="0" fontId="11" fillId="0" borderId="0" xfId="1" applyFont="1" applyFill="1" applyBorder="1"/>
    <xf numFmtId="0" fontId="11" fillId="0" borderId="0" xfId="1" applyFont="1" applyFill="1" applyBorder="1" applyAlignment="1">
      <alignment horizontal="center"/>
    </xf>
    <xf numFmtId="0" fontId="20" fillId="0" borderId="0" xfId="1" applyFont="1" applyFill="1" applyBorder="1"/>
    <xf numFmtId="0" fontId="11" fillId="0" borderId="0" xfId="1" applyFont="1" applyFill="1" applyAlignment="1">
      <alignment horizontal="center"/>
    </xf>
    <xf numFmtId="0" fontId="11" fillId="0" borderId="0" xfId="1" applyFont="1" applyAlignment="1">
      <alignment horizontal="center"/>
    </xf>
    <xf numFmtId="0" fontId="13" fillId="3" borderId="13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15" fillId="2" borderId="8" xfId="0" applyFont="1" applyFill="1" applyBorder="1" applyAlignment="1" applyProtection="1">
      <alignment horizontal="left" vertical="center" wrapText="1"/>
      <protection locked="0"/>
    </xf>
    <xf numFmtId="0" fontId="13" fillId="3" borderId="8" xfId="0" applyFont="1" applyFill="1" applyBorder="1" applyAlignment="1">
      <alignment horizontal="left" vertical="center"/>
    </xf>
    <xf numFmtId="178" fontId="14" fillId="3" borderId="8" xfId="0" applyNumberFormat="1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left" vertical="center"/>
    </xf>
    <xf numFmtId="0" fontId="12" fillId="0" borderId="7" xfId="1" applyFont="1" applyFill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/>
    </xf>
    <xf numFmtId="0" fontId="14" fillId="3" borderId="8" xfId="0" applyFont="1" applyFill="1" applyBorder="1" applyAlignment="1">
      <alignment vertical="center"/>
    </xf>
    <xf numFmtId="0" fontId="15" fillId="3" borderId="8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11" fillId="0" borderId="10" xfId="1" applyFont="1" applyFill="1" applyBorder="1" applyAlignment="1">
      <alignment horizontal="center"/>
    </xf>
    <xf numFmtId="0" fontId="11" fillId="0" borderId="11" xfId="1" applyFont="1" applyFill="1" applyBorder="1" applyAlignment="1">
      <alignment horizontal="center"/>
    </xf>
    <xf numFmtId="0" fontId="11" fillId="0" borderId="12" xfId="1" applyFont="1" applyFill="1" applyBorder="1" applyAlignment="1">
      <alignment horizontal="center"/>
    </xf>
    <xf numFmtId="0" fontId="12" fillId="0" borderId="7" xfId="1" applyFont="1" applyFill="1" applyBorder="1" applyAlignment="1">
      <alignment horizontal="center" vertical="center"/>
    </xf>
    <xf numFmtId="0" fontId="12" fillId="0" borderId="9" xfId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top" wrapText="1"/>
    </xf>
    <xf numFmtId="0" fontId="15" fillId="0" borderId="9" xfId="0" applyFont="1" applyFill="1" applyBorder="1" applyAlignment="1">
      <alignment horizontal="left" vertical="top" wrapText="1"/>
    </xf>
    <xf numFmtId="0" fontId="15" fillId="0" borderId="13" xfId="0" applyFont="1" applyFill="1" applyBorder="1" applyAlignment="1">
      <alignment horizontal="left" vertical="top" wrapText="1"/>
    </xf>
    <xf numFmtId="0" fontId="12" fillId="0" borderId="8" xfId="1" applyFont="1" applyBorder="1" applyAlignment="1">
      <alignment horizontal="left" vertical="top"/>
    </xf>
    <xf numFmtId="0" fontId="18" fillId="2" borderId="1" xfId="0" applyFont="1" applyFill="1" applyBorder="1" applyAlignment="1" applyProtection="1">
      <alignment horizontal="left" vertical="center"/>
      <protection locked="0"/>
    </xf>
    <xf numFmtId="0" fontId="18" fillId="2" borderId="2" xfId="0" applyFont="1" applyFill="1" applyBorder="1" applyAlignment="1" applyProtection="1">
      <alignment horizontal="left" vertical="center"/>
      <protection locked="0"/>
    </xf>
    <xf numFmtId="0" fontId="18" fillId="2" borderId="2" xfId="0" applyFont="1" applyFill="1" applyBorder="1" applyAlignment="1" applyProtection="1">
      <alignment horizontal="center" vertical="center"/>
      <protection locked="0"/>
    </xf>
    <xf numFmtId="0" fontId="18" fillId="2" borderId="3" xfId="0" applyFont="1" applyFill="1" applyBorder="1" applyAlignment="1" applyProtection="1">
      <alignment horizontal="center" vertical="center"/>
      <protection locked="0"/>
    </xf>
    <xf numFmtId="0" fontId="12" fillId="0" borderId="7" xfId="1" applyFont="1" applyFill="1" applyBorder="1" applyAlignment="1">
      <alignment horizontal="center" vertical="center" wrapText="1"/>
    </xf>
    <xf numFmtId="0" fontId="12" fillId="0" borderId="13" xfId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12" fillId="0" borderId="13" xfId="1" applyFont="1" applyFill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8" xfId="1" applyFont="1" applyFill="1" applyBorder="1" applyAlignment="1">
      <alignment horizontal="center" vertical="center"/>
    </xf>
    <xf numFmtId="0" fontId="12" fillId="3" borderId="8" xfId="1" applyFont="1" applyFill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9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</cellXfs>
  <cellStyles count="2">
    <cellStyle name="常规" xfId="0" builtinId="0"/>
    <cellStyle name="常规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R70"/>
  <sheetViews>
    <sheetView tabSelected="1" topLeftCell="A2" zoomScale="70" zoomScaleNormal="70" workbookViewId="0">
      <selection activeCell="M20" sqref="M20"/>
    </sheetView>
  </sheetViews>
  <sheetFormatPr defaultColWidth="9" defaultRowHeight="17.399999999999999"/>
  <cols>
    <col min="1" max="1" width="7" style="15" bestFit="1" customWidth="1"/>
    <col min="2" max="2" width="32.77734375" style="15" bestFit="1" customWidth="1"/>
    <col min="3" max="3" width="35.6640625" style="15" bestFit="1" customWidth="1"/>
    <col min="4" max="4" width="9.6640625" style="40" bestFit="1" customWidth="1"/>
    <col min="5" max="5" width="8" style="15" bestFit="1" customWidth="1"/>
    <col min="6" max="6" width="15.21875" style="40" bestFit="1" customWidth="1"/>
    <col min="7" max="7" width="18.33203125" style="15" bestFit="1" customWidth="1"/>
    <col min="8" max="8" width="72.44140625" style="15" customWidth="1"/>
    <col min="9" max="9" width="25" style="15" bestFit="1" customWidth="1"/>
    <col min="10" max="10" width="9" style="15"/>
    <col min="11" max="11" width="9.5546875" style="15" bestFit="1" customWidth="1"/>
    <col min="12" max="12" width="15" style="40" customWidth="1"/>
    <col min="13" max="16384" width="9" style="15"/>
  </cols>
  <sheetData>
    <row r="1" spans="1:18" s="3" customFormat="1" ht="27.9" customHeight="1">
      <c r="A1" s="72" t="s">
        <v>85</v>
      </c>
      <c r="B1" s="73"/>
      <c r="C1" s="73"/>
      <c r="D1" s="73"/>
      <c r="E1" s="73"/>
      <c r="F1" s="73"/>
      <c r="G1" s="73"/>
      <c r="H1" s="74"/>
      <c r="I1" s="1"/>
      <c r="J1" s="1"/>
      <c r="K1" s="1"/>
      <c r="L1" s="53"/>
      <c r="M1" s="2"/>
    </row>
    <row r="2" spans="1:18" s="3" customFormat="1" ht="27.9" customHeight="1">
      <c r="A2" s="75"/>
      <c r="B2" s="76"/>
      <c r="C2" s="76"/>
      <c r="D2" s="76"/>
      <c r="E2" s="76"/>
      <c r="F2" s="76"/>
      <c r="G2" s="76"/>
      <c r="H2" s="77"/>
      <c r="I2" s="2"/>
      <c r="J2" s="2"/>
      <c r="K2" s="2"/>
      <c r="L2" s="54"/>
      <c r="M2" s="2"/>
    </row>
    <row r="3" spans="1:18" s="3" customFormat="1" ht="27.9" customHeight="1">
      <c r="A3" s="78"/>
      <c r="B3" s="4" t="s">
        <v>0</v>
      </c>
      <c r="C3" s="5" t="s">
        <v>88</v>
      </c>
      <c r="D3" s="81"/>
      <c r="E3" s="82"/>
      <c r="F3" s="83"/>
      <c r="G3" s="6" t="s">
        <v>1</v>
      </c>
      <c r="H3" s="5" t="s">
        <v>89</v>
      </c>
      <c r="I3" s="2"/>
      <c r="J3" s="2"/>
      <c r="K3" s="2"/>
      <c r="L3" s="54"/>
      <c r="M3" s="2"/>
    </row>
    <row r="4" spans="1:18" s="3" customFormat="1" ht="27.9" customHeight="1">
      <c r="A4" s="79"/>
      <c r="B4" s="4" t="s">
        <v>2</v>
      </c>
      <c r="C4" s="5" t="s">
        <v>82</v>
      </c>
      <c r="D4" s="84"/>
      <c r="E4" s="85"/>
      <c r="F4" s="86"/>
      <c r="G4" s="6" t="s">
        <v>3</v>
      </c>
      <c r="H4" s="5" t="s">
        <v>4</v>
      </c>
      <c r="I4" s="2"/>
      <c r="J4" s="2"/>
      <c r="K4" s="2"/>
      <c r="L4" s="22"/>
      <c r="M4" s="2"/>
    </row>
    <row r="5" spans="1:18" s="3" customFormat="1" ht="27.9" customHeight="1">
      <c r="A5" s="79"/>
      <c r="B5" s="4" t="s">
        <v>5</v>
      </c>
      <c r="C5" s="8">
        <v>46054</v>
      </c>
      <c r="D5" s="84"/>
      <c r="E5" s="85"/>
      <c r="F5" s="86"/>
      <c r="G5" s="6" t="s">
        <v>6</v>
      </c>
      <c r="H5" s="8">
        <v>46112</v>
      </c>
      <c r="I5" s="2"/>
      <c r="J5" s="2"/>
      <c r="K5" s="2"/>
      <c r="L5" s="22"/>
      <c r="M5" s="2"/>
    </row>
    <row r="6" spans="1:18" s="3" customFormat="1" ht="27.9" customHeight="1">
      <c r="A6" s="79"/>
      <c r="B6" s="4" t="s">
        <v>7</v>
      </c>
      <c r="C6" s="9">
        <v>1</v>
      </c>
      <c r="D6" s="87"/>
      <c r="E6" s="88"/>
      <c r="F6" s="89"/>
      <c r="G6" s="6" t="s">
        <v>8</v>
      </c>
      <c r="H6" s="10">
        <v>2</v>
      </c>
      <c r="I6" s="7"/>
      <c r="J6" s="7"/>
      <c r="K6" s="7"/>
      <c r="L6" s="22"/>
      <c r="M6" s="7"/>
      <c r="N6" s="7"/>
      <c r="O6" s="7"/>
    </row>
    <row r="7" spans="1:18" s="3" customFormat="1" ht="27.9" customHeight="1">
      <c r="A7" s="80"/>
      <c r="B7" s="4" t="s">
        <v>9</v>
      </c>
      <c r="C7" s="8">
        <v>46100</v>
      </c>
      <c r="D7" s="90" t="s">
        <v>10</v>
      </c>
      <c r="E7" s="91"/>
      <c r="F7" s="92"/>
      <c r="G7" s="6" t="s">
        <v>11</v>
      </c>
      <c r="H7" s="11"/>
      <c r="I7" s="7"/>
      <c r="J7" s="7"/>
      <c r="K7" s="7"/>
      <c r="L7" s="22"/>
      <c r="M7" s="7"/>
      <c r="N7" s="7"/>
      <c r="O7" s="7"/>
    </row>
    <row r="8" spans="1:18" ht="38.25" customHeight="1">
      <c r="A8" s="12" t="s">
        <v>12</v>
      </c>
      <c r="B8" s="12" t="s">
        <v>13</v>
      </c>
      <c r="C8" s="13" t="s">
        <v>14</v>
      </c>
      <c r="D8" s="13" t="s">
        <v>15</v>
      </c>
      <c r="E8" s="13" t="s">
        <v>16</v>
      </c>
      <c r="F8" s="14" t="s">
        <v>17</v>
      </c>
      <c r="G8" s="14" t="s">
        <v>18</v>
      </c>
      <c r="H8" s="13" t="s">
        <v>71</v>
      </c>
      <c r="I8" s="7"/>
      <c r="J8" s="7"/>
      <c r="K8" s="7"/>
      <c r="M8" s="7"/>
    </row>
    <row r="9" spans="1:18" ht="27.9" hidden="1" customHeight="1">
      <c r="A9" s="16">
        <v>1</v>
      </c>
      <c r="B9" s="60" t="s">
        <v>19</v>
      </c>
      <c r="C9" s="44" t="s">
        <v>20</v>
      </c>
      <c r="D9" s="45">
        <v>0</v>
      </c>
      <c r="E9" s="46" t="s">
        <v>21</v>
      </c>
      <c r="F9" s="46">
        <v>200</v>
      </c>
      <c r="G9" s="47">
        <f>D9*F9</f>
        <v>0</v>
      </c>
      <c r="H9" s="21">
        <v>0</v>
      </c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ht="27.9" hidden="1" customHeight="1">
      <c r="A10" s="16">
        <v>2</v>
      </c>
      <c r="B10" s="61"/>
      <c r="C10" s="17" t="s">
        <v>22</v>
      </c>
      <c r="D10" s="18">
        <v>0</v>
      </c>
      <c r="E10" s="19" t="s">
        <v>21</v>
      </c>
      <c r="F10" s="46">
        <v>180</v>
      </c>
      <c r="G10" s="20">
        <f>D10*F10*0.5</f>
        <v>0</v>
      </c>
      <c r="H10" s="21">
        <v>0</v>
      </c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ht="68.400000000000006" hidden="1" customHeight="1">
      <c r="A11" s="16">
        <v>3</v>
      </c>
      <c r="B11" s="61"/>
      <c r="C11" s="17" t="s">
        <v>23</v>
      </c>
      <c r="D11" s="18">
        <v>1584</v>
      </c>
      <c r="E11" s="19" t="s">
        <v>21</v>
      </c>
      <c r="F11" s="46">
        <v>180</v>
      </c>
      <c r="G11" s="20">
        <v>0</v>
      </c>
      <c r="H11" s="43">
        <v>0</v>
      </c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ht="75" hidden="1" customHeight="1">
      <c r="A12" s="16">
        <v>4</v>
      </c>
      <c r="B12" s="61"/>
      <c r="C12" s="17" t="s">
        <v>24</v>
      </c>
      <c r="D12" s="18">
        <v>1804</v>
      </c>
      <c r="E12" s="19" t="s">
        <v>21</v>
      </c>
      <c r="F12" s="46">
        <v>100</v>
      </c>
      <c r="G12" s="20">
        <v>0</v>
      </c>
      <c r="H12" s="43">
        <v>0</v>
      </c>
      <c r="I12" s="7"/>
      <c r="J12" s="7"/>
      <c r="K12" s="7"/>
      <c r="L12" s="7"/>
      <c r="M12" s="7"/>
    </row>
    <row r="13" spans="1:18" ht="27.9" hidden="1" customHeight="1">
      <c r="A13" s="16">
        <v>5</v>
      </c>
      <c r="B13" s="61"/>
      <c r="C13" s="17" t="s">
        <v>25</v>
      </c>
      <c r="D13" s="18">
        <v>0</v>
      </c>
      <c r="E13" s="19" t="s">
        <v>21</v>
      </c>
      <c r="F13" s="19">
        <v>150</v>
      </c>
      <c r="G13" s="20">
        <f t="shared" ref="G13:G43" si="0">D13*F13</f>
        <v>0</v>
      </c>
      <c r="H13" s="21">
        <v>0</v>
      </c>
      <c r="I13" s="7"/>
      <c r="K13" s="7"/>
      <c r="L13" s="7"/>
      <c r="M13" s="7"/>
    </row>
    <row r="14" spans="1:18" ht="27.9" hidden="1" customHeight="1">
      <c r="A14" s="16">
        <v>6</v>
      </c>
      <c r="B14" s="61"/>
      <c r="C14" s="17" t="s">
        <v>26</v>
      </c>
      <c r="D14" s="18">
        <v>0</v>
      </c>
      <c r="E14" s="19" t="s">
        <v>21</v>
      </c>
      <c r="F14" s="19">
        <v>400</v>
      </c>
      <c r="G14" s="20">
        <f>D14*F14</f>
        <v>0</v>
      </c>
      <c r="H14" s="21">
        <v>0</v>
      </c>
      <c r="I14" s="7"/>
      <c r="J14" s="22"/>
      <c r="K14" s="7"/>
      <c r="L14" s="7"/>
      <c r="M14" s="7"/>
    </row>
    <row r="15" spans="1:18" ht="27.9" hidden="1" customHeight="1">
      <c r="A15" s="16">
        <v>7</v>
      </c>
      <c r="B15" s="61"/>
      <c r="C15" s="17" t="s">
        <v>27</v>
      </c>
      <c r="D15" s="18">
        <v>1</v>
      </c>
      <c r="E15" s="19" t="s">
        <v>81</v>
      </c>
      <c r="F15" s="19">
        <v>80000</v>
      </c>
      <c r="G15" s="20">
        <v>0</v>
      </c>
      <c r="H15" s="21">
        <v>0</v>
      </c>
      <c r="I15" s="7"/>
      <c r="J15" s="7"/>
      <c r="K15" s="7"/>
      <c r="L15" s="7"/>
      <c r="M15" s="7"/>
    </row>
    <row r="16" spans="1:18" ht="27.9" hidden="1" customHeight="1">
      <c r="A16" s="16">
        <v>8</v>
      </c>
      <c r="B16" s="61"/>
      <c r="C16" s="17" t="s">
        <v>28</v>
      </c>
      <c r="D16" s="18">
        <v>0</v>
      </c>
      <c r="E16" s="19" t="s">
        <v>21</v>
      </c>
      <c r="F16" s="19">
        <v>180</v>
      </c>
      <c r="G16" s="20">
        <f t="shared" si="0"/>
        <v>0</v>
      </c>
      <c r="H16" s="21">
        <v>0</v>
      </c>
      <c r="I16" s="7"/>
      <c r="J16" s="7"/>
      <c r="K16" s="7"/>
      <c r="L16" s="7"/>
      <c r="M16" s="7"/>
    </row>
    <row r="17" spans="1:13" ht="27.9" hidden="1" customHeight="1">
      <c r="A17" s="16">
        <v>9</v>
      </c>
      <c r="B17" s="61"/>
      <c r="C17" s="17" t="s">
        <v>29</v>
      </c>
      <c r="D17" s="18">
        <v>0</v>
      </c>
      <c r="E17" s="19" t="s">
        <v>21</v>
      </c>
      <c r="F17" s="19">
        <v>150</v>
      </c>
      <c r="G17" s="20">
        <f t="shared" si="0"/>
        <v>0</v>
      </c>
      <c r="H17" s="21">
        <v>0</v>
      </c>
      <c r="I17" s="7"/>
      <c r="J17" s="7"/>
      <c r="K17" s="7"/>
      <c r="L17" s="7"/>
      <c r="M17" s="7"/>
    </row>
    <row r="18" spans="1:13" ht="27.9" hidden="1" customHeight="1">
      <c r="A18" s="16">
        <v>10</v>
      </c>
      <c r="B18" s="93"/>
      <c r="C18" s="17" t="s">
        <v>30</v>
      </c>
      <c r="D18" s="18">
        <v>0</v>
      </c>
      <c r="E18" s="19" t="s">
        <v>21</v>
      </c>
      <c r="F18" s="19">
        <v>150</v>
      </c>
      <c r="G18" s="20">
        <f t="shared" si="0"/>
        <v>0</v>
      </c>
      <c r="H18" s="21">
        <v>0</v>
      </c>
      <c r="I18" s="7"/>
      <c r="J18" s="7"/>
      <c r="K18" s="7"/>
      <c r="L18" s="7"/>
      <c r="M18" s="7"/>
    </row>
    <row r="19" spans="1:13" ht="27.9" customHeight="1">
      <c r="A19" s="16">
        <v>11</v>
      </c>
      <c r="B19" s="94" t="s">
        <v>31</v>
      </c>
      <c r="C19" s="23" t="s">
        <v>72</v>
      </c>
      <c r="D19" s="18">
        <v>4</v>
      </c>
      <c r="E19" s="19" t="s">
        <v>32</v>
      </c>
      <c r="F19" s="41">
        <v>400</v>
      </c>
      <c r="G19" s="23">
        <f t="shared" si="0"/>
        <v>1600</v>
      </c>
      <c r="H19" s="24"/>
      <c r="I19" s="7"/>
      <c r="J19" s="7"/>
      <c r="K19" s="7"/>
      <c r="L19" s="22"/>
      <c r="M19" s="7"/>
    </row>
    <row r="20" spans="1:13" ht="27.9" customHeight="1">
      <c r="A20" s="16">
        <v>12</v>
      </c>
      <c r="B20" s="95"/>
      <c r="C20" s="23" t="s">
        <v>33</v>
      </c>
      <c r="D20" s="18">
        <v>2</v>
      </c>
      <c r="E20" s="19" t="s">
        <v>32</v>
      </c>
      <c r="F20" s="42">
        <v>1200</v>
      </c>
      <c r="G20" s="23">
        <f>D20*F20</f>
        <v>2400</v>
      </c>
      <c r="H20" s="24"/>
      <c r="I20" s="7"/>
      <c r="J20" s="7"/>
      <c r="K20" s="7"/>
      <c r="L20" s="22"/>
      <c r="M20" s="7"/>
    </row>
    <row r="21" spans="1:13" ht="27.9" hidden="1" customHeight="1">
      <c r="A21" s="16">
        <v>14</v>
      </c>
      <c r="B21" s="96" t="s">
        <v>35</v>
      </c>
      <c r="C21" s="17" t="s">
        <v>36</v>
      </c>
      <c r="D21" s="18">
        <v>0</v>
      </c>
      <c r="E21" s="19" t="s">
        <v>34</v>
      </c>
      <c r="F21" s="25">
        <v>1000</v>
      </c>
      <c r="G21" s="17">
        <f t="shared" ref="G21" si="1">D21*F21</f>
        <v>0</v>
      </c>
      <c r="H21" s="21">
        <v>0</v>
      </c>
      <c r="I21" s="7"/>
      <c r="J21" s="7"/>
      <c r="K21" s="7"/>
      <c r="L21" s="7"/>
      <c r="M21" s="7"/>
    </row>
    <row r="22" spans="1:13" ht="27.9" hidden="1" customHeight="1">
      <c r="A22" s="16">
        <v>15</v>
      </c>
      <c r="B22" s="96"/>
      <c r="C22" s="17" t="s">
        <v>37</v>
      </c>
      <c r="D22" s="18">
        <v>0</v>
      </c>
      <c r="E22" s="19" t="s">
        <v>34</v>
      </c>
      <c r="F22" s="25">
        <v>15000</v>
      </c>
      <c r="G22" s="17">
        <f t="shared" si="0"/>
        <v>0</v>
      </c>
      <c r="H22" s="21">
        <v>0</v>
      </c>
      <c r="I22" s="7"/>
      <c r="J22" s="7"/>
      <c r="K22" s="7"/>
      <c r="L22" s="7"/>
      <c r="M22" s="7"/>
    </row>
    <row r="23" spans="1:13" ht="27.9" hidden="1" customHeight="1">
      <c r="A23" s="16">
        <v>16</v>
      </c>
      <c r="B23" s="96"/>
      <c r="C23" s="17" t="s">
        <v>38</v>
      </c>
      <c r="D23" s="18">
        <f>H6*H23</f>
        <v>0</v>
      </c>
      <c r="E23" s="19" t="s">
        <v>34</v>
      </c>
      <c r="F23" s="25">
        <v>15000</v>
      </c>
      <c r="G23" s="17">
        <f>D23*F23</f>
        <v>0</v>
      </c>
      <c r="H23" s="21">
        <v>0</v>
      </c>
      <c r="I23" s="7"/>
      <c r="J23" s="7"/>
      <c r="K23" s="7"/>
      <c r="L23" s="7"/>
      <c r="M23" s="7"/>
    </row>
    <row r="24" spans="1:13" ht="27.9" hidden="1" customHeight="1">
      <c r="A24" s="16">
        <v>17</v>
      </c>
      <c r="B24" s="96"/>
      <c r="C24" s="17" t="s">
        <v>39</v>
      </c>
      <c r="D24" s="18">
        <f>H6*H24</f>
        <v>0</v>
      </c>
      <c r="E24" s="19" t="s">
        <v>34</v>
      </c>
      <c r="F24" s="25">
        <v>15000</v>
      </c>
      <c r="G24" s="17">
        <f t="shared" si="0"/>
        <v>0</v>
      </c>
      <c r="H24" s="21">
        <v>0</v>
      </c>
      <c r="I24" s="7"/>
      <c r="J24" s="7"/>
      <c r="K24" s="7"/>
      <c r="L24" s="7"/>
      <c r="M24" s="7"/>
    </row>
    <row r="25" spans="1:13" ht="27.9" hidden="1" customHeight="1">
      <c r="A25" s="16">
        <v>18</v>
      </c>
      <c r="B25" s="96"/>
      <c r="C25" s="17" t="s">
        <v>40</v>
      </c>
      <c r="D25" s="18">
        <f>H6*H25</f>
        <v>0</v>
      </c>
      <c r="E25" s="19" t="s">
        <v>34</v>
      </c>
      <c r="F25" s="25">
        <v>15000</v>
      </c>
      <c r="G25" s="17">
        <f>D25*F25</f>
        <v>0</v>
      </c>
      <c r="H25" s="21">
        <v>0</v>
      </c>
      <c r="I25" s="7"/>
      <c r="J25" s="7"/>
      <c r="K25" s="7"/>
      <c r="L25" s="7"/>
      <c r="M25" s="7"/>
    </row>
    <row r="26" spans="1:13" ht="27.9" hidden="1" customHeight="1">
      <c r="A26" s="16">
        <v>19</v>
      </c>
      <c r="B26" s="96"/>
      <c r="C26" s="17" t="s">
        <v>41</v>
      </c>
      <c r="D26" s="18">
        <v>0</v>
      </c>
      <c r="E26" s="19" t="s">
        <v>34</v>
      </c>
      <c r="F26" s="25">
        <v>85000</v>
      </c>
      <c r="G26" s="17">
        <f>D26*F26</f>
        <v>0</v>
      </c>
      <c r="H26" s="21">
        <v>0</v>
      </c>
      <c r="I26" s="7"/>
      <c r="L26" s="15"/>
    </row>
    <row r="27" spans="1:13" ht="27.9" hidden="1" customHeight="1">
      <c r="A27" s="16">
        <v>20</v>
      </c>
      <c r="B27" s="96"/>
      <c r="C27" s="17" t="s">
        <v>42</v>
      </c>
      <c r="D27" s="18">
        <f>H6*H27</f>
        <v>0</v>
      </c>
      <c r="E27" s="19" t="s">
        <v>34</v>
      </c>
      <c r="F27" s="25">
        <v>10000</v>
      </c>
      <c r="G27" s="17">
        <f>D27*F27</f>
        <v>0</v>
      </c>
      <c r="H27" s="21">
        <v>0</v>
      </c>
      <c r="I27" s="7"/>
      <c r="L27" s="15"/>
    </row>
    <row r="28" spans="1:13" s="27" customFormat="1" ht="27.9" hidden="1" customHeight="1">
      <c r="A28" s="16">
        <v>21</v>
      </c>
      <c r="B28" s="96"/>
      <c r="C28" s="17" t="s">
        <v>43</v>
      </c>
      <c r="D28" s="18">
        <f>H7*H28</f>
        <v>0</v>
      </c>
      <c r="E28" s="19" t="s">
        <v>34</v>
      </c>
      <c r="F28" s="25">
        <v>100000</v>
      </c>
      <c r="G28" s="17">
        <f>D28*F28</f>
        <v>0</v>
      </c>
      <c r="H28" s="21">
        <v>0</v>
      </c>
      <c r="I28" s="26"/>
    </row>
    <row r="29" spans="1:13" ht="27.9" hidden="1" customHeight="1">
      <c r="A29" s="16">
        <v>22</v>
      </c>
      <c r="B29" s="97" t="s">
        <v>44</v>
      </c>
      <c r="C29" s="17" t="s">
        <v>45</v>
      </c>
      <c r="D29" s="42">
        <v>0</v>
      </c>
      <c r="E29" s="25" t="s">
        <v>46</v>
      </c>
      <c r="F29" s="25">
        <v>10000</v>
      </c>
      <c r="G29" s="17">
        <f t="shared" si="0"/>
        <v>0</v>
      </c>
      <c r="H29" s="28">
        <v>0</v>
      </c>
      <c r="I29" s="7"/>
      <c r="L29" s="15"/>
    </row>
    <row r="30" spans="1:13" ht="27.9" hidden="1" customHeight="1">
      <c r="A30" s="16">
        <v>23</v>
      </c>
      <c r="B30" s="97"/>
      <c r="C30" s="17" t="s">
        <v>47</v>
      </c>
      <c r="D30" s="42">
        <v>0</v>
      </c>
      <c r="E30" s="25" t="s">
        <v>46</v>
      </c>
      <c r="F30" s="25">
        <v>30000</v>
      </c>
      <c r="G30" s="17">
        <f t="shared" si="0"/>
        <v>0</v>
      </c>
      <c r="H30" s="28"/>
      <c r="I30" s="7"/>
      <c r="L30" s="15"/>
    </row>
    <row r="31" spans="1:13" ht="27.9" customHeight="1">
      <c r="A31" s="16">
        <v>24</v>
      </c>
      <c r="B31" s="94" t="s">
        <v>48</v>
      </c>
      <c r="C31" s="23" t="s">
        <v>49</v>
      </c>
      <c r="D31" s="42">
        <v>6</v>
      </c>
      <c r="E31" s="25" t="s">
        <v>46</v>
      </c>
      <c r="F31" s="25">
        <v>2000</v>
      </c>
      <c r="G31" s="23">
        <f t="shared" si="0"/>
        <v>12000</v>
      </c>
      <c r="H31" s="24" t="s">
        <v>79</v>
      </c>
      <c r="I31" s="7"/>
      <c r="L31" s="22"/>
    </row>
    <row r="32" spans="1:13" ht="27.9" customHeight="1">
      <c r="A32" s="16">
        <v>25</v>
      </c>
      <c r="B32" s="95"/>
      <c r="C32" s="44" t="s">
        <v>77</v>
      </c>
      <c r="D32" s="42">
        <v>750</v>
      </c>
      <c r="E32" s="46" t="s">
        <v>78</v>
      </c>
      <c r="F32" s="46">
        <v>20</v>
      </c>
      <c r="G32" s="44">
        <f t="shared" si="0"/>
        <v>15000</v>
      </c>
      <c r="H32" s="24" t="s">
        <v>86</v>
      </c>
      <c r="I32" s="7"/>
      <c r="L32" s="22"/>
    </row>
    <row r="33" spans="1:12" ht="27.9" customHeight="1">
      <c r="A33" s="16">
        <v>26</v>
      </c>
      <c r="B33" s="95"/>
      <c r="C33" s="44" t="s">
        <v>80</v>
      </c>
      <c r="D33" s="42">
        <v>450</v>
      </c>
      <c r="E33" s="46" t="s">
        <v>78</v>
      </c>
      <c r="F33" s="46">
        <v>6</v>
      </c>
      <c r="G33" s="44">
        <f t="shared" si="0"/>
        <v>2700</v>
      </c>
      <c r="H33" s="24" t="s">
        <v>87</v>
      </c>
      <c r="I33" s="7"/>
      <c r="L33" s="22"/>
    </row>
    <row r="34" spans="1:12" ht="27.9" customHeight="1">
      <c r="A34" s="16">
        <v>27</v>
      </c>
      <c r="B34" s="98"/>
      <c r="C34" s="50" t="s">
        <v>76</v>
      </c>
      <c r="D34" s="42">
        <v>39</v>
      </c>
      <c r="E34" s="46" t="s">
        <v>50</v>
      </c>
      <c r="F34" s="46">
        <v>2000</v>
      </c>
      <c r="G34" s="44">
        <f t="shared" si="0"/>
        <v>78000</v>
      </c>
      <c r="H34" s="51" t="s">
        <v>90</v>
      </c>
      <c r="I34" s="7"/>
      <c r="L34" s="22"/>
    </row>
    <row r="35" spans="1:12" ht="27.9" customHeight="1">
      <c r="A35" s="49">
        <v>28</v>
      </c>
      <c r="B35" s="48" t="s">
        <v>51</v>
      </c>
      <c r="C35" s="50" t="s">
        <v>84</v>
      </c>
      <c r="D35" s="42">
        <v>1</v>
      </c>
      <c r="E35" s="46" t="s">
        <v>52</v>
      </c>
      <c r="F35" s="46">
        <v>370000</v>
      </c>
      <c r="G35" s="44">
        <f t="shared" si="0"/>
        <v>370000</v>
      </c>
      <c r="H35" s="51" t="s">
        <v>83</v>
      </c>
      <c r="I35" s="7"/>
      <c r="L35" s="22"/>
    </row>
    <row r="36" spans="1:12" ht="27.9" hidden="1" customHeight="1">
      <c r="A36" s="16">
        <v>29</v>
      </c>
      <c r="B36" s="70" t="s">
        <v>53</v>
      </c>
      <c r="C36" s="29" t="s">
        <v>54</v>
      </c>
      <c r="D36" s="42">
        <v>0</v>
      </c>
      <c r="E36" s="25" t="s">
        <v>52</v>
      </c>
      <c r="F36" s="25">
        <v>200000</v>
      </c>
      <c r="G36" s="17">
        <f t="shared" si="0"/>
        <v>0</v>
      </c>
      <c r="H36" s="24"/>
      <c r="I36" s="7"/>
      <c r="L36" s="15"/>
    </row>
    <row r="37" spans="1:12" ht="27.9" hidden="1" customHeight="1">
      <c r="A37" s="16">
        <v>30</v>
      </c>
      <c r="B37" s="99"/>
      <c r="C37" s="29" t="s">
        <v>55</v>
      </c>
      <c r="D37" s="42">
        <v>0</v>
      </c>
      <c r="E37" s="25" t="s">
        <v>52</v>
      </c>
      <c r="F37" s="25">
        <v>300000</v>
      </c>
      <c r="G37" s="17">
        <f t="shared" si="0"/>
        <v>0</v>
      </c>
      <c r="H37" s="24"/>
      <c r="I37" s="7"/>
      <c r="L37" s="15"/>
    </row>
    <row r="38" spans="1:12" ht="27.9" hidden="1" customHeight="1">
      <c r="A38" s="16">
        <v>31</v>
      </c>
      <c r="B38" s="100" t="s">
        <v>56</v>
      </c>
      <c r="C38" s="29" t="s">
        <v>57</v>
      </c>
      <c r="D38" s="42">
        <v>0</v>
      </c>
      <c r="E38" s="25" t="s">
        <v>52</v>
      </c>
      <c r="F38" s="25">
        <v>100000</v>
      </c>
      <c r="G38" s="17">
        <v>0</v>
      </c>
      <c r="H38" s="30"/>
      <c r="I38" s="7"/>
      <c r="L38" s="15"/>
    </row>
    <row r="39" spans="1:12" ht="27.9" hidden="1" customHeight="1">
      <c r="A39" s="16">
        <v>32</v>
      </c>
      <c r="B39" s="100"/>
      <c r="C39" s="29" t="s">
        <v>58</v>
      </c>
      <c r="D39" s="42">
        <v>0</v>
      </c>
      <c r="E39" s="25" t="s">
        <v>52</v>
      </c>
      <c r="F39" s="25">
        <v>100000</v>
      </c>
      <c r="G39" s="17">
        <v>0</v>
      </c>
      <c r="H39" s="30"/>
      <c r="I39" s="7"/>
      <c r="L39" s="15"/>
    </row>
    <row r="40" spans="1:12" ht="27.9" hidden="1" customHeight="1">
      <c r="A40" s="16">
        <v>33</v>
      </c>
      <c r="B40" s="70" t="s">
        <v>59</v>
      </c>
      <c r="C40" s="29" t="s">
        <v>60</v>
      </c>
      <c r="D40" s="42">
        <v>0</v>
      </c>
      <c r="E40" s="25" t="s">
        <v>46</v>
      </c>
      <c r="F40" s="25">
        <v>5000</v>
      </c>
      <c r="G40" s="17">
        <f t="shared" si="0"/>
        <v>0</v>
      </c>
      <c r="H40" s="30"/>
      <c r="I40" s="7"/>
      <c r="L40" s="15"/>
    </row>
    <row r="41" spans="1:12" ht="27.9" hidden="1" customHeight="1">
      <c r="A41" s="16">
        <v>34</v>
      </c>
      <c r="B41" s="71"/>
      <c r="C41" s="50" t="s">
        <v>61</v>
      </c>
      <c r="D41" s="42">
        <v>0</v>
      </c>
      <c r="E41" s="46" t="s">
        <v>46</v>
      </c>
      <c r="F41" s="46">
        <v>60</v>
      </c>
      <c r="G41" s="44">
        <f t="shared" si="0"/>
        <v>0</v>
      </c>
      <c r="H41" s="30">
        <v>0</v>
      </c>
      <c r="I41" s="7"/>
      <c r="L41" s="15"/>
    </row>
    <row r="42" spans="1:12" ht="27.9" hidden="1" customHeight="1">
      <c r="A42" s="16">
        <v>35</v>
      </c>
      <c r="B42" s="60" t="s">
        <v>62</v>
      </c>
      <c r="C42" s="29" t="s">
        <v>73</v>
      </c>
      <c r="D42" s="42">
        <v>0</v>
      </c>
      <c r="E42" s="25" t="s">
        <v>46</v>
      </c>
      <c r="F42" s="25">
        <v>20000</v>
      </c>
      <c r="G42" s="17">
        <f t="shared" si="0"/>
        <v>0</v>
      </c>
      <c r="H42" s="62" t="s">
        <v>63</v>
      </c>
      <c r="I42" s="7"/>
      <c r="L42" s="15"/>
    </row>
    <row r="43" spans="1:12" ht="27.9" hidden="1" customHeight="1">
      <c r="A43" s="16">
        <v>36</v>
      </c>
      <c r="B43" s="61"/>
      <c r="C43" s="29" t="s">
        <v>74</v>
      </c>
      <c r="D43" s="42">
        <v>0</v>
      </c>
      <c r="E43" s="25" t="s">
        <v>46</v>
      </c>
      <c r="F43" s="25">
        <v>200000</v>
      </c>
      <c r="G43" s="17">
        <f t="shared" si="0"/>
        <v>0</v>
      </c>
      <c r="H43" s="63"/>
      <c r="I43" s="7"/>
      <c r="L43" s="15"/>
    </row>
    <row r="44" spans="1:12" ht="27.9" hidden="1" customHeight="1">
      <c r="A44" s="16">
        <v>37</v>
      </c>
      <c r="B44" s="61"/>
      <c r="C44" s="29" t="s">
        <v>75</v>
      </c>
      <c r="D44" s="42">
        <v>0</v>
      </c>
      <c r="E44" s="25" t="s">
        <v>46</v>
      </c>
      <c r="F44" s="25">
        <v>200000</v>
      </c>
      <c r="G44" s="17">
        <f>D44*F44</f>
        <v>0</v>
      </c>
      <c r="H44" s="63"/>
      <c r="I44" s="7"/>
      <c r="L44" s="15"/>
    </row>
    <row r="45" spans="1:12" ht="27.9" hidden="1" customHeight="1">
      <c r="A45" s="16">
        <v>38</v>
      </c>
      <c r="B45" s="61"/>
      <c r="C45" s="29" t="s">
        <v>64</v>
      </c>
      <c r="D45" s="42">
        <v>0</v>
      </c>
      <c r="E45" s="25" t="s">
        <v>50</v>
      </c>
      <c r="F45" s="25">
        <v>5000</v>
      </c>
      <c r="G45" s="17">
        <v>0</v>
      </c>
      <c r="H45" s="64"/>
      <c r="I45" s="7"/>
      <c r="L45" s="15"/>
    </row>
    <row r="46" spans="1:12" ht="27.9" customHeight="1">
      <c r="A46" s="16">
        <v>39</v>
      </c>
      <c r="B46" s="16" t="s">
        <v>65</v>
      </c>
      <c r="C46" s="31"/>
      <c r="D46" s="19"/>
      <c r="E46" s="19"/>
      <c r="F46" s="19"/>
      <c r="G46" s="23">
        <f>SUM(G9:G45)*0.05</f>
        <v>24085</v>
      </c>
      <c r="H46" s="32" t="s">
        <v>66</v>
      </c>
      <c r="I46" s="7"/>
      <c r="L46" s="19"/>
    </row>
    <row r="47" spans="1:12" ht="27.9" customHeight="1">
      <c r="A47" s="16">
        <v>40</v>
      </c>
      <c r="B47" s="16"/>
      <c r="C47" s="23" t="s">
        <v>67</v>
      </c>
      <c r="D47" s="19"/>
      <c r="E47" s="19"/>
      <c r="F47" s="19"/>
      <c r="G47" s="33">
        <f>SUM(G9:G46)</f>
        <v>505785</v>
      </c>
      <c r="H47" s="52"/>
      <c r="I47" s="7"/>
      <c r="L47" s="55"/>
    </row>
    <row r="48" spans="1:12" ht="27.9" customHeight="1">
      <c r="A48" s="65" t="s">
        <v>91</v>
      </c>
      <c r="B48" s="65"/>
      <c r="C48" s="65"/>
      <c r="D48" s="65"/>
      <c r="E48" s="65"/>
      <c r="F48" s="65"/>
      <c r="G48" s="65"/>
      <c r="H48" s="65"/>
      <c r="I48" s="7"/>
    </row>
    <row r="49" spans="1:12" ht="27.9" customHeight="1">
      <c r="A49" s="66" t="s">
        <v>68</v>
      </c>
      <c r="B49" s="67"/>
      <c r="C49" s="67"/>
      <c r="D49" s="68" t="s">
        <v>69</v>
      </c>
      <c r="E49" s="68"/>
      <c r="F49" s="68"/>
      <c r="G49" s="68" t="s">
        <v>70</v>
      </c>
      <c r="H49" s="69"/>
      <c r="I49" s="34"/>
    </row>
    <row r="50" spans="1:12" s="35" customFormat="1" ht="27.9" customHeight="1">
      <c r="A50" s="57"/>
      <c r="B50" s="58"/>
      <c r="C50" s="58"/>
      <c r="D50" s="58"/>
      <c r="E50" s="58"/>
      <c r="F50" s="58"/>
      <c r="G50" s="58"/>
      <c r="H50" s="59"/>
      <c r="I50" s="34"/>
      <c r="L50" s="56"/>
    </row>
    <row r="51" spans="1:12" s="27" customFormat="1">
      <c r="A51" s="36"/>
      <c r="B51" s="36"/>
      <c r="C51" s="36"/>
      <c r="D51" s="37"/>
      <c r="E51" s="36"/>
      <c r="F51" s="37"/>
      <c r="G51" s="38"/>
      <c r="L51" s="39"/>
    </row>
    <row r="52" spans="1:12" s="27" customFormat="1">
      <c r="A52" s="36"/>
      <c r="B52" s="36"/>
      <c r="C52" s="36"/>
      <c r="D52" s="37"/>
      <c r="E52" s="36"/>
      <c r="F52" s="37"/>
      <c r="G52" s="38"/>
      <c r="L52" s="39"/>
    </row>
    <row r="53" spans="1:12" s="27" customFormat="1">
      <c r="A53" s="36"/>
      <c r="B53" s="36"/>
      <c r="C53" s="36"/>
      <c r="D53" s="37"/>
      <c r="E53" s="36"/>
      <c r="F53" s="37"/>
      <c r="G53" s="38"/>
      <c r="L53" s="39"/>
    </row>
    <row r="54" spans="1:12" s="27" customFormat="1">
      <c r="A54" s="36"/>
      <c r="B54" s="36"/>
      <c r="C54" s="36"/>
      <c r="D54" s="37"/>
      <c r="E54" s="36"/>
      <c r="F54" s="37"/>
      <c r="G54" s="38"/>
      <c r="L54" s="39"/>
    </row>
    <row r="55" spans="1:12" s="27" customFormat="1">
      <c r="A55" s="36"/>
      <c r="B55" s="36"/>
      <c r="C55" s="36"/>
      <c r="D55" s="37"/>
      <c r="E55" s="36"/>
      <c r="F55" s="37"/>
      <c r="G55" s="38"/>
      <c r="L55" s="39"/>
    </row>
    <row r="56" spans="1:12" s="27" customFormat="1">
      <c r="A56" s="36"/>
      <c r="B56" s="36"/>
      <c r="C56" s="36"/>
      <c r="D56" s="37"/>
      <c r="E56" s="36"/>
      <c r="F56" s="37"/>
      <c r="G56" s="38"/>
      <c r="L56" s="39"/>
    </row>
    <row r="57" spans="1:12" s="27" customFormat="1">
      <c r="A57" s="36"/>
      <c r="B57" s="36"/>
      <c r="C57" s="36"/>
      <c r="D57" s="37"/>
      <c r="E57" s="36"/>
      <c r="F57" s="37"/>
      <c r="G57" s="38"/>
      <c r="L57" s="39"/>
    </row>
    <row r="58" spans="1:12" s="27" customFormat="1">
      <c r="A58" s="36"/>
      <c r="B58" s="36"/>
      <c r="C58" s="36"/>
      <c r="D58" s="37"/>
      <c r="E58" s="36"/>
      <c r="F58" s="37"/>
      <c r="G58" s="38"/>
      <c r="L58" s="39"/>
    </row>
    <row r="59" spans="1:12" s="27" customFormat="1">
      <c r="A59" s="36"/>
      <c r="B59" s="36"/>
      <c r="C59" s="36"/>
      <c r="D59" s="37"/>
      <c r="E59" s="36"/>
      <c r="F59" s="37"/>
      <c r="G59" s="38"/>
      <c r="L59" s="39"/>
    </row>
    <row r="60" spans="1:12" s="27" customFormat="1">
      <c r="A60" s="36"/>
      <c r="B60" s="36"/>
      <c r="C60" s="36"/>
      <c r="D60" s="37"/>
      <c r="E60" s="36"/>
      <c r="F60" s="37"/>
      <c r="G60" s="38"/>
      <c r="L60" s="39"/>
    </row>
    <row r="61" spans="1:12" s="27" customFormat="1">
      <c r="A61" s="36"/>
      <c r="B61" s="36"/>
      <c r="C61" s="36"/>
      <c r="D61" s="37"/>
      <c r="E61" s="36"/>
      <c r="F61" s="37"/>
      <c r="G61" s="38"/>
      <c r="L61" s="39"/>
    </row>
    <row r="62" spans="1:12" s="27" customFormat="1">
      <c r="A62" s="36"/>
      <c r="B62" s="36"/>
      <c r="C62" s="36"/>
      <c r="D62" s="37"/>
      <c r="E62" s="36"/>
      <c r="F62" s="37"/>
      <c r="G62" s="38"/>
      <c r="L62" s="39"/>
    </row>
    <row r="63" spans="1:12" s="27" customFormat="1">
      <c r="A63" s="36"/>
      <c r="B63" s="36"/>
      <c r="C63" s="36"/>
      <c r="D63" s="37"/>
      <c r="E63" s="36"/>
      <c r="F63" s="37"/>
      <c r="G63" s="38"/>
      <c r="L63" s="39"/>
    </row>
    <row r="64" spans="1:12" s="27" customFormat="1">
      <c r="A64" s="36"/>
      <c r="B64" s="36"/>
      <c r="C64" s="36"/>
      <c r="D64" s="37"/>
      <c r="E64" s="36"/>
      <c r="F64" s="37"/>
      <c r="G64" s="38"/>
      <c r="L64" s="39"/>
    </row>
    <row r="65" spans="1:12" s="27" customFormat="1">
      <c r="A65" s="36"/>
      <c r="B65" s="36"/>
      <c r="C65" s="36"/>
      <c r="D65" s="37"/>
      <c r="E65" s="36"/>
      <c r="F65" s="37"/>
      <c r="G65" s="38"/>
      <c r="L65" s="39"/>
    </row>
    <row r="66" spans="1:12" s="27" customFormat="1">
      <c r="A66" s="36"/>
      <c r="B66" s="36"/>
      <c r="C66" s="36"/>
      <c r="D66" s="37"/>
      <c r="E66" s="36"/>
      <c r="F66" s="37"/>
      <c r="G66" s="36"/>
      <c r="L66" s="39"/>
    </row>
    <row r="67" spans="1:12" s="27" customFormat="1">
      <c r="A67" s="36"/>
      <c r="B67" s="36"/>
      <c r="C67" s="36"/>
      <c r="D67" s="37"/>
      <c r="E67" s="36"/>
      <c r="F67" s="37"/>
      <c r="G67" s="36"/>
      <c r="L67" s="39"/>
    </row>
    <row r="68" spans="1:12" s="27" customFormat="1">
      <c r="D68" s="39"/>
      <c r="F68" s="39"/>
      <c r="G68" s="36"/>
      <c r="L68" s="39"/>
    </row>
    <row r="69" spans="1:12" s="27" customFormat="1">
      <c r="D69" s="39"/>
      <c r="F69" s="39"/>
      <c r="L69" s="39"/>
    </row>
    <row r="70" spans="1:12" s="27" customFormat="1">
      <c r="D70" s="39"/>
      <c r="F70" s="39"/>
      <c r="L70" s="39"/>
    </row>
  </sheetData>
  <autoFilter ref="A8:H49">
    <filterColumn colId="6">
      <filters blank="1">
        <filter val="1200"/>
        <filter val="15000"/>
        <filter val="1600"/>
        <filter val="19900"/>
        <filter val="2700"/>
        <filter val="310000"/>
        <filter val="417900"/>
        <filter val="58500"/>
        <filter val="9000"/>
        <filter val="批准/Approval："/>
      </filters>
    </filterColumn>
  </autoFilter>
  <mergeCells count="19">
    <mergeCell ref="B40:B41"/>
    <mergeCell ref="A1:H2"/>
    <mergeCell ref="A3:A7"/>
    <mergeCell ref="D3:F6"/>
    <mergeCell ref="D7:F7"/>
    <mergeCell ref="B9:B18"/>
    <mergeCell ref="B19:B20"/>
    <mergeCell ref="B21:B28"/>
    <mergeCell ref="B29:B30"/>
    <mergeCell ref="B31:B34"/>
    <mergeCell ref="B36:B37"/>
    <mergeCell ref="B38:B39"/>
    <mergeCell ref="A50:H50"/>
    <mergeCell ref="B42:B45"/>
    <mergeCell ref="H42:H45"/>
    <mergeCell ref="A48:H48"/>
    <mergeCell ref="A49:C49"/>
    <mergeCell ref="D49:F49"/>
    <mergeCell ref="G49:H49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P162大电池包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2026-03-19T08:26:17Z</dcterms:modified>
</cp:coreProperties>
</file>