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05" tabRatio="735" firstSheet="4" activeTab="7"/>
  </bookViews>
  <sheets>
    <sheet name="项目评估汇总（昆山90%）-一个配置" sheetId="63" state="hidden" r:id="rId1"/>
    <sheet name="客户报价逻辑" sheetId="23" state="hidden" r:id="rId2"/>
    <sheet name="运营工时费报价基准" sheetId="45" state="hidden" r:id="rId3"/>
    <sheet name="工厂效率" sheetId="46" state="hidden" r:id="rId4"/>
    <sheet name="设备投资明细" sheetId="26" r:id="rId5"/>
    <sheet name="项目专用模具" sheetId="27" r:id="rId6"/>
    <sheet name="项目工装投入 " sheetId="28" r:id="rId7"/>
    <sheet name="研发费用 " sheetId="33" r:id="rId8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4" hidden="1">设备投资明细!$A$3:$Q$41</definedName>
    <definedName name="_xlnm._FilterDatabase" localSheetId="6" hidden="1">'项目工装投入 '!$A$3:$M$16</definedName>
    <definedName name="__123Graph_A" localSheetId="3" hidden="1">'[1]PV6 3.5L LX5 GMX170'!#REF!</definedName>
    <definedName name="__123Graph_A" localSheetId="7" hidden="1">'[2]PV6 3.5L LX5 GMX170'!#REF!</definedName>
    <definedName name="__123Graph_A" localSheetId="2" hidden="1">'[1]PV6 3.5L LX5 GMX170'!#REF!</definedName>
    <definedName name="__123Graph_A" hidden="1">'[2]PV6 3.5L LX5 GMX170'!#REF!</definedName>
    <definedName name="_15__123Graph_FCHART_5" localSheetId="3" hidden="1">#REF!</definedName>
    <definedName name="_15__123Graph_FCHART_5" localSheetId="7" hidden="1">#REF!</definedName>
    <definedName name="_15__123Graph_FCHART_5" localSheetId="2" hidden="1">#REF!</definedName>
    <definedName name="_15__123Graph_FCHART_5" hidden="1">#REF!</definedName>
    <definedName name="a">[3]Terminal!$F$1:$F$3</definedName>
    <definedName name="countif" localSheetId="3">#REF!</definedName>
    <definedName name="countif" localSheetId="7">#REF!</definedName>
    <definedName name="countif" localSheetId="2">#REF!</definedName>
    <definedName name="countif">#REF!</definedName>
    <definedName name="D" localSheetId="3">#REF!</definedName>
    <definedName name="D" localSheetId="7">#REF!</definedName>
    <definedName name="D" localSheetId="2">#REF!</definedName>
    <definedName name="D">#REF!</definedName>
    <definedName name="E" localSheetId="3">#REF!</definedName>
    <definedName name="E" localSheetId="2">#REF!</definedName>
    <definedName name="E">#REF!</definedName>
    <definedName name="Erstelldatum" localSheetId="3">#REF!</definedName>
    <definedName name="Erstelldatum" localSheetId="7">#REF!</definedName>
    <definedName name="Erstelldatum" localSheetId="2">#REF!</definedName>
    <definedName name="Erstelldatum">#REF!</definedName>
    <definedName name="EXCEL_EXPORT1" localSheetId="3">#REF!</definedName>
    <definedName name="EXCEL_EXPORT1" localSheetId="2">#REF!</definedName>
    <definedName name="EXCEL_EXPORT1">#REF!</definedName>
    <definedName name="FZG_Beschriftung" localSheetId="7">#REF!</definedName>
    <definedName name="FZG_Beschriftung">#REF!</definedName>
    <definedName name="ISFOXAutomaticLabelingDisabled" hidden="1">TRUE</definedName>
    <definedName name="ISFOXClassificationHistory_0" hidden="1">"DOMFGDVB\CC02110294;d4c75f49-f1ee-485c-aa75-2c54e2ab5223;Internal;2019-07-18T13:37:04;;DRX|"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"d4c75f49-f1ee-485c-aa75-2c54e2ab5223"</definedName>
    <definedName name="ISFOXPrefix" hidden="1">"DRX"</definedName>
    <definedName name="ISFOXPreviousClassificationId" hidden="1">"d4c75f49-f1ee-485c-aa75-2c54e2ab5223"</definedName>
    <definedName name="ISFOXSaveAsProcess" hidden="1">TRUE</definedName>
    <definedName name="ISFOXShowClassificationRequestWindow" hidden="1">TRUE</definedName>
    <definedName name="ISFOXVersionHistoryCount" hidden="1">1</definedName>
    <definedName name="ISFOXVersioningChanged" hidden="1">FALSE</definedName>
    <definedName name="ISFOXWorkbookInitialized" hidden="1">FALSE</definedName>
    <definedName name="PA_Beschriftung" localSheetId="3">#REF!</definedName>
    <definedName name="PA_Beschriftung" localSheetId="2">#REF!</definedName>
    <definedName name="PA_Beschriftung">#REF!</definedName>
    <definedName name="Planungsstand" localSheetId="3">#REF!</definedName>
    <definedName name="Planungsstand" localSheetId="2">#REF!</definedName>
    <definedName name="Planungsstand">#REF!</definedName>
    <definedName name="Vergleichsplanung" localSheetId="3">#REF!</definedName>
    <definedName name="Vergleichsplanung" localSheetId="2">#REF!</definedName>
    <definedName name="Vergleichsplanung">#REF!</definedName>
    <definedName name="x" localSheetId="3">#REF!</definedName>
    <definedName name="x" localSheetId="2">#REF!</definedName>
    <definedName name="x">#REF!</definedName>
    <definedName name="Z" localSheetId="3">#REF!</definedName>
    <definedName name="Z" localSheetId="2">#REF!</definedName>
    <definedName name="Z">#REF!</definedName>
    <definedName name="公用设备大类" localSheetId="3">OFFSET([4]资源数据源!$S$1,1,0,COUNTA([4]资源数据源!$S:$S)-COUNTIF([4]资源数据源!$S:$S,0)-1,1)</definedName>
    <definedName name="公用设备大类" localSheetId="4">OFFSET([5]资源数据源!$S$1,1,0,COUNTA([5]资源数据源!$S:$S)-COUNTIF([5]资源数据源!$S:$S,0)-1,1)</definedName>
    <definedName name="公用设备大类" localSheetId="6">OFFSET([5]资源数据源!$S$1,1,0,COUNTA([5]资源数据源!$S:$S)-COUNTIF([5]资源数据源!$S:$S,0)-1,1)</definedName>
    <definedName name="公用设备大类" localSheetId="5">OFFSET([5]资源数据源!$S$1,1,0,COUNTA([5]资源数据源!$S:$S)-COUNTIF([5]资源数据源!$S:$S,0)-1,1)</definedName>
    <definedName name="公用设备大类" localSheetId="2">OFFSET([4]资源数据源!$S$1,1,0,COUNTA([4]资源数据源!$S:$S)-COUNTIF([4]资源数据源!$S:$S,0)-1,1)</definedName>
    <definedName name="公用设备大类">OFFSET([7]资源数据源!$S$1,1,0,COUNTA([7]资源数据源!$S:$S)-COUNTIF([7]资源数据源!$S:$S,0)-1,1)</definedName>
    <definedName name="公用设备名称" localSheetId="3">OFFSET([4]资源数据源!$G$1,MATCH('[4]项目评估汇总-样表'!$C1,[4]资源数据源!$F:$F,0)-1,0,COUNTIF([4]资源数据源!$F:$F,'[4]项目评估汇总-样表'!$C1),1)</definedName>
    <definedName name="公用设备名称" localSheetId="4">OFFSET([5]资源数据源!$G$1,MATCH(设备投资明细!#REF!,[5]资源数据源!$F:$F,0)-1,0,COUNTIF([5]资源数据源!$F:$F,设备投资明细!#REF!),1)</definedName>
    <definedName name="公用设备名称" localSheetId="6">OFFSET([5]资源数据源!$G$1,MATCH([5]项目设备投入!$C1,[5]资源数据源!$F:$F,0)-1,0,COUNTIF([5]资源数据源!$F:$F,[5]项目设备投入!$C1),1)</definedName>
    <definedName name="公用设备名称" localSheetId="5">OFFSET([5]资源数据源!$G$1,MATCH([5]项目设备投入!$C1,[5]资源数据源!$F:$F,0)-1,0,COUNTIF([5]资源数据源!$F:$F,[5]项目设备投入!$C1),1)</definedName>
    <definedName name="公用设备名称" localSheetId="2">OFFSET([4]资源数据源!$G$1,MATCH('[4]项目评估汇总-样表'!$C1,[4]资源数据源!$F:$F,0)-1,0,COUNTIF([4]资源数据源!$F:$F,'[4]项目评估汇总-样表'!$C1),1)</definedName>
    <definedName name="公用设备名称">OFFSET([7]资源数据源!$G$1,MATCH('[7]项目评估汇总-样表'!$C1,[7]资源数据源!$F:$F,0)-1,0,COUNTIF([7]资源数据源!$F:$F,'[7]项目评估汇总-样表'!$C1),1)</definedName>
    <definedName name="项目评估" localSheetId="3">#REF!</definedName>
    <definedName name="项目评估" localSheetId="2">#REF!</definedName>
    <definedName name="项目评估">#REF!</definedName>
    <definedName name="专用工装设备大类" localSheetId="3">OFFSET([4]资源数据源!$W$1,1,0,COUNTA([4]资源数据源!$W:$W)-COUNTIF([4]资源数据源!$W:$W,0)-1,1)</definedName>
    <definedName name="专用工装设备大类" localSheetId="4">OFFSET([5]资源数据源!$W$1,1,0,COUNTA([5]资源数据源!$W:$W)-COUNTIF([5]资源数据源!$W:$W,0)-1,1)</definedName>
    <definedName name="专用工装设备大类" localSheetId="6">OFFSET([5]资源数据源!$W$1,1,0,COUNTA([5]资源数据源!$W:$W)-COUNTIF([5]资源数据源!$W:$W,0)-1,1)</definedName>
    <definedName name="专用工装设备大类" localSheetId="5">OFFSET([5]资源数据源!$W$1,1,0,COUNTA([5]资源数据源!$W:$W)-COUNTIF([5]资源数据源!$W:$W,0)-1,1)</definedName>
    <definedName name="专用工装设备大类" localSheetId="2">OFFSET([4]资源数据源!$W$1,1,0,COUNTA([4]资源数据源!$W:$W)-COUNTIF([4]资源数据源!$W:$W,0)-1,1)</definedName>
    <definedName name="专用工装设备大类">OFFSET([7]资源数据源!$W$1,1,0,COUNTA([7]资源数据源!$W:$W)-COUNTIF([7]资源数据源!$W:$W,0)-1,1)</definedName>
    <definedName name="专用工装设备名称" localSheetId="3">OFFSET([9]资源数据源!$G$1,MATCH(#REF!,[9]资源数据源!$F:$F,0)-1,0,COUNTIF([9]资源数据源!$F:$F,#REF!),1)</definedName>
    <definedName name="专用工装设备名称" localSheetId="4">OFFSET([5]资源数据源!$G$1,MATCH([5]项目工装投入!$C1,[5]资源数据源!$F:$F,0)-1,0,COUNTIF([5]资源数据源!$F:$F,[5]项目工装投入!$C1),1)</definedName>
    <definedName name="专用工装设备名称" localSheetId="6">OFFSET([5]资源数据源!$G$1,MATCH('项目工装投入 '!$C1,[5]资源数据源!$F:$F,0)-1,0,COUNTIF([5]资源数据源!$F:$F,'项目工装投入 '!$C1),1)</definedName>
    <definedName name="专用工装设备名称" localSheetId="5">OFFSET([5]资源数据源!$G$1,MATCH([5]项目工装投入!$C1,[5]资源数据源!$F:$F,0)-1,0,COUNTIF([5]资源数据源!$F:$F,[5]项目工装投入!$C1),1)</definedName>
    <definedName name="专用工装设备名称" localSheetId="7">OFFSET([10]资源数据源!$G$1,MATCH([11]项目工装投入!$C1,[10]资源数据源!$F:$F,0)-1,0,COUNTIF([10]资源数据源!$F:$F,[11]项目工装投入!$C1),1)</definedName>
    <definedName name="专用工装设备名称" localSheetId="2">OFFSET([9]资源数据源!$G$1,MATCH(#REF!,[9]资源数据源!$F:$F,0)-1,0,COUNTIF([9]资源数据源!$F:$F,#REF!),1)</definedName>
    <definedName name="专用工装设备名称">OFFSET([10]资源数据源!$G$1,MATCH(#REF!,[10]资源数据源!$F:$F,0)-1,0,COUNTIF([10]资源数据源!$F:$F,#REF!),1)</definedName>
    <definedName name="专用模具模块大类" localSheetId="3">OFFSET([9]资源数据源!$Y$1,1,0,COUNTA([9]资源数据源!$Y:$Y)-COUNTIF([9]资源数据源!$Y:$Y,0)-1,1)</definedName>
    <definedName name="专用模具模块大类" localSheetId="4">OFFSET([5]资源数据源!$Y$1,1,0,COUNTA([5]资源数据源!$Y:$Y)-COUNTIF([5]资源数据源!$Y:$Y,0)-1,1)</definedName>
    <definedName name="专用模具模块大类" localSheetId="6">OFFSET([5]资源数据源!$Y$1,1,0,COUNTA([5]资源数据源!$Y:$Y)-COUNTIF([5]资源数据源!$Y:$Y,0)-1,1)</definedName>
    <definedName name="专用模具模块大类" localSheetId="5">OFFSET([5]资源数据源!$Y$1,1,0,COUNTA([5]资源数据源!$Y:$Y)-COUNTIF([5]资源数据源!$Y:$Y,0)-1,1)</definedName>
    <definedName name="专用模具模块大类" localSheetId="2">OFFSET([9]资源数据源!$Y$1,1,0,COUNTA([9]资源数据源!$Y:$Y)-COUNTIF([9]资源数据源!$Y:$Y,0)-1,1)</definedName>
    <definedName name="专用模具模块大类">OFFSET([10]资源数据源!$Y$1,1,0,COUNTA([10]资源数据源!$Y:$Y)-COUNTIF([10]资源数据源!$Y:$Y,0)-1,1)</definedName>
    <definedName name="专用模具设备名称">OFFSET([5]资源数据源!$G$1,MATCH([5]项目专用模具!$C1,[5]资源数据源!$F:$F,0)-1,0,COUNTIF([5]资源数据源!$F:$F,[5]项目专用模具!$C1),1)</definedName>
    <definedName name="专用设备大类" localSheetId="3">OFFSET([4]资源数据源!$U$1,1,0,COUNTA([4]资源数据源!$U:$U)-COUNTIF([4]资源数据源!$U:$U,0)-1,1)</definedName>
    <definedName name="专用设备大类" localSheetId="4">OFFSET([5]资源数据源!$U$1,1,0,COUNTA([5]资源数据源!$U:$U)-COUNTIF([5]资源数据源!$U:$U,0)-1,1)</definedName>
    <definedName name="专用设备大类" localSheetId="6">OFFSET([5]资源数据源!$U$1,1,0,COUNTA([5]资源数据源!$U:$U)-COUNTIF([5]资源数据源!$U:$U,0)-1,1)</definedName>
    <definedName name="专用设备大类" localSheetId="5">OFFSET([5]资源数据源!$U$1,1,0,COUNTA([5]资源数据源!$U:$U)-COUNTIF([5]资源数据源!$U:$U,0)-1,1)</definedName>
    <definedName name="专用设备大类" localSheetId="2">OFFSET([4]资源数据源!$U$1,1,0,COUNTA([4]资源数据源!$U:$U)-COUNTIF([4]资源数据源!$U:$U,0)-1,1)</definedName>
    <definedName name="专用设备大类">OFFSET([7]资源数据源!$U$1,1,0,COUNTA([7]资源数据源!$U:$U)-COUNTIF([7]资源数据源!$U:$U,0)-1,1)</definedName>
    <definedName name="专用设备名称" localSheetId="3">OFFSET([4]资源数据源!$G$1,MATCH(#REF!,[4]资源数据源!$F:$F,0)-1,0,COUNTIF([4]资源数据源!$F:$F,#REF!),1)</definedName>
    <definedName name="专用设备名称" localSheetId="4">OFFSET([5]资源数据源!$G$1,MATCH(设备投资明细!#REF!,[5]资源数据源!$F:$F,0)-1,0,COUNTIF([5]资源数据源!$F:$F,设备投资明细!#REF!),1)</definedName>
    <definedName name="专用设备名称" localSheetId="6">OFFSET([5]资源数据源!$G$1,MATCH([5]项目设备投入!$C1,[5]资源数据源!$F:$F,0)-1,0,COUNTIF([5]资源数据源!$F:$F,[5]项目设备投入!$C1),1)</definedName>
    <definedName name="专用设备名称" localSheetId="5">OFFSET([5]资源数据源!$G$1,MATCH([5]项目设备投入!$C1,[5]资源数据源!$F:$F,0)-1,0,COUNTIF([5]资源数据源!$F:$F,[5]项目设备投入!$C1),1)</definedName>
    <definedName name="专用设备名称" localSheetId="7">OFFSET([7]资源数据源!$G$1,MATCH([11]设备投资明细!$C1,[7]资源数据源!$F:$F,0)-1,0,COUNTIF([7]资源数据源!$F:$F,[11]设备投资明细!$C1),1)</definedName>
    <definedName name="专用设备名称" localSheetId="2">OFFSET([4]资源数据源!$G$1,MATCH(#REF!,[4]资源数据源!$F:$F,0)-1,0,COUNTIF([4]资源数据源!$F:$F,#REF!),1)</definedName>
    <definedName name="专用设备名称">OFFSET([7]资源数据源!$G$1,MATCH(#REF!,[7]资源数据源!$F:$F,0)-1,0,COUNTIF([7]资源数据源!$F:$F,#REF!),1)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NEC-PC-刘利杰</author>
  </authors>
  <commentList>
    <comment ref="O33" authorId="0">
      <text>
        <r>
          <rPr>
            <b/>
            <sz val="9"/>
            <rFont val="宋体"/>
            <charset val="134"/>
          </rPr>
          <t>电检台上与线束插件对插工装具备插拔次数监控功能，超过寿命自动报警。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  <comment ref="O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<sst xmlns="http://schemas.openxmlformats.org/spreadsheetml/2006/main" count="551" uniqueCount="323">
  <si>
    <t>吉利E281高压</t>
  </si>
  <si>
    <t>内    容</t>
  </si>
  <si>
    <t>产  品  周  期  汇  总</t>
  </si>
  <si>
    <t>备  注</t>
  </si>
  <si>
    <t>费率</t>
  </si>
  <si>
    <t>目标汇总值</t>
  </si>
  <si>
    <t>第一年2026年</t>
  </si>
  <si>
    <t>第二年2027年</t>
  </si>
  <si>
    <t>第三年2028年</t>
  </si>
  <si>
    <t>第四年2029年</t>
  </si>
  <si>
    <t>第五年2030年</t>
  </si>
  <si>
    <t>第六年2031年</t>
  </si>
  <si>
    <t>回路数（PCS）</t>
  </si>
  <si>
    <t>目标销售数量（PCS）</t>
  </si>
  <si>
    <t>目标销售单价（元）</t>
  </si>
  <si>
    <t>平均售价</t>
  </si>
  <si>
    <t>回路单价 （元）</t>
  </si>
  <si>
    <t>回路工时 （秒）</t>
  </si>
  <si>
    <t>目标销售收入（元）</t>
  </si>
  <si>
    <t>目标利润额（元）</t>
  </si>
  <si>
    <t>毛利（%）</t>
  </si>
  <si>
    <t>毛利（元）</t>
  </si>
  <si>
    <t>返点金额（QS）（元）</t>
  </si>
  <si>
    <t>单套项目总成本（元/PCS）</t>
  </si>
  <si>
    <t>单套材料成本（元/PCS）</t>
  </si>
  <si>
    <t>BOM材料成本</t>
  </si>
  <si>
    <t>单套直接人工（元/PCS）</t>
  </si>
  <si>
    <t>—前工程效率-开线</t>
  </si>
  <si>
    <t>工厂开线标准工时费</t>
  </si>
  <si>
    <t>工厂开线标准工时费*工时</t>
  </si>
  <si>
    <t>—前工程效率 - 公共制程</t>
  </si>
  <si>
    <t>工厂公共制程标准工时费</t>
  </si>
  <si>
    <t>工厂公共制程标准工时费*工时</t>
  </si>
  <si>
    <t xml:space="preserve">—后工程 - 总装 </t>
  </si>
  <si>
    <t>工厂总装标准工时费</t>
  </si>
  <si>
    <t>工厂总装标准工时费*工时</t>
  </si>
  <si>
    <t>单套设备成本（元/PCS）</t>
  </si>
  <si>
    <t>—共用设备（元/PCS)</t>
  </si>
  <si>
    <t>年折旧*使用年限/产量</t>
  </si>
  <si>
    <t>—专用设备（元/PCS)</t>
  </si>
  <si>
    <t>总价值／产量</t>
  </si>
  <si>
    <t>制造费用(单套) D=①+②+③+④</t>
  </si>
  <si>
    <t>—间接人工</t>
  </si>
  <si>
    <t>工厂费率</t>
  </si>
  <si>
    <t>工厂费率*工时</t>
  </si>
  <si>
    <t>—低值易耗品</t>
  </si>
  <si>
    <t>—机物料消耗</t>
  </si>
  <si>
    <t>—厂房分摊</t>
  </si>
  <si>
    <t>—自动化仓、仓库分摊</t>
  </si>
  <si>
    <t>—其他制费</t>
  </si>
  <si>
    <t>-材料损耗</t>
  </si>
  <si>
    <t>材料*0.5%</t>
  </si>
  <si>
    <t>研发费用（元/PCS）</t>
  </si>
  <si>
    <t>投入费/产量</t>
  </si>
  <si>
    <t>单套包装、物流费用（元/PCS）</t>
  </si>
  <si>
    <t>解释：</t>
  </si>
  <si>
    <t>低值易耗品费：工装板、模块、辅助工具、物料盒等</t>
  </si>
  <si>
    <t>第一页</t>
  </si>
  <si>
    <t>机物料消耗：质量检验测试、开机测试</t>
  </si>
  <si>
    <t>工装分摊价</t>
  </si>
  <si>
    <t>其他制费：差旅费、水电费、劳保用品、备品备件等</t>
  </si>
  <si>
    <t>实验费分摊价</t>
  </si>
  <si>
    <t>删除辅助工装类→和低值易耗品重复</t>
  </si>
  <si>
    <t>零件号</t>
  </si>
  <si>
    <t>零件名称</t>
  </si>
  <si>
    <t>用量</t>
  </si>
  <si>
    <t>铜重</t>
  </si>
  <si>
    <t>铝重</t>
  </si>
  <si>
    <t>材料成本
（元）</t>
  </si>
  <si>
    <t>废品率
（0.9%）</t>
  </si>
  <si>
    <t>实际工时</t>
  </si>
  <si>
    <t>直接人工
(35元/H)</t>
  </si>
  <si>
    <t>制造费
(47元/H)</t>
  </si>
  <si>
    <t>人工+制造费</t>
  </si>
  <si>
    <t>管理费
(6%)</t>
  </si>
  <si>
    <t>利润</t>
  </si>
  <si>
    <t>出厂价</t>
  </si>
  <si>
    <t>包装费</t>
  </si>
  <si>
    <t>运输费</t>
  </si>
  <si>
    <t>到厂价</t>
  </si>
  <si>
    <t>*零件名称</t>
  </si>
  <si>
    <t>*标配/选配</t>
  </si>
  <si>
    <t>装车比</t>
  </si>
  <si>
    <r>
      <rPr>
        <b/>
        <sz val="10"/>
        <color theme="1"/>
        <rFont val="微软雅黑"/>
        <charset val="134"/>
      </rPr>
      <t xml:space="preserve">1、运营工时费  </t>
    </r>
    <r>
      <rPr>
        <b/>
        <sz val="10"/>
        <color rgb="FF0033CC"/>
        <rFont val="微软雅黑"/>
        <charset val="134"/>
      </rPr>
      <t>25年1-6月 基准</t>
    </r>
  </si>
  <si>
    <t>区分   元/h</t>
  </si>
  <si>
    <t>K1K2工厂</t>
  </si>
  <si>
    <t>K3工厂</t>
  </si>
  <si>
    <t>宁波工厂</t>
  </si>
  <si>
    <t>仪征工厂</t>
  </si>
  <si>
    <t xml:space="preserve">重庆工厂
低压 </t>
  </si>
  <si>
    <t xml:space="preserve">重庆工厂
高压 </t>
  </si>
  <si>
    <t>天津工厂</t>
  </si>
  <si>
    <t>直接人工-出勤工时</t>
  </si>
  <si>
    <t>效率</t>
  </si>
  <si>
    <t>-前工程效率-开线 元/h</t>
  </si>
  <si>
    <t>-前工程效率 - 公共制程   元/h</t>
  </si>
  <si>
    <t>-后工程 - 总装   元/h</t>
  </si>
  <si>
    <t>制造费用</t>
  </si>
  <si>
    <t>16.14+损耗</t>
  </si>
  <si>
    <t>15.17+损耗</t>
  </si>
  <si>
    <t>20.32+损耗</t>
  </si>
  <si>
    <t>15.13+损耗</t>
  </si>
  <si>
    <t>15.81+损耗</t>
  </si>
  <si>
    <t>23.46+损耗</t>
  </si>
  <si>
    <t>16.22+损耗</t>
  </si>
  <si>
    <t>-间接人工   元/h</t>
  </si>
  <si>
    <t>9.45
（16.16）</t>
  </si>
  <si>
    <t>-低值易耗品费   元/h</t>
  </si>
  <si>
    <t>0.51
（0.23）</t>
  </si>
  <si>
    <t>-机物料消耗   元/h</t>
  </si>
  <si>
    <t>2.41
（0.11）</t>
  </si>
  <si>
    <t>-厂房分摊   元/h</t>
  </si>
  <si>
    <t>-自动化仓、仓库分摊   元/h</t>
  </si>
  <si>
    <t>-其他制费   元/h</t>
  </si>
  <si>
    <t>-材料损耗   材料*0.5%</t>
  </si>
  <si>
    <t>宁波工厂-间接人工 ：因产值低，按照昆山低压与仪征平均取数</t>
  </si>
  <si>
    <t>天津工厂-低值易耗+机物料消耗 ：项目前期使用昆山高压物料，按照昆山高压取数</t>
  </si>
  <si>
    <t>K1K2工厂-厂房、自动化仓库摊销：25年1-6月产能不足，数据参考25年下半年预算</t>
  </si>
  <si>
    <t>● 25年报价效率：昆山低压、宁波、仪征、天津、重庆低压</t>
  </si>
  <si>
    <t>总工时</t>
  </si>
  <si>
    <t>项目节拍 PCS/h</t>
  </si>
  <si>
    <t>描述</t>
  </si>
  <si>
    <t>≤5</t>
  </si>
  <si>
    <t>5~10</t>
  </si>
  <si>
    <t>10~20</t>
  </si>
  <si>
    <t>＞20</t>
  </si>
  <si>
    <t>≤4h</t>
  </si>
  <si>
    <t>单回路工时＞42S</t>
  </si>
  <si>
    <t>4h~20h</t>
  </si>
  <si>
    <t>＞20h</t>
  </si>
  <si>
    <t>单回路工时＜42S</t>
  </si>
  <si>
    <t>● 25年报价效率：昆山高压、天津高压、重庆高压</t>
  </si>
  <si>
    <r>
      <rPr>
        <b/>
        <sz val="13"/>
        <color rgb="FF000000"/>
        <rFont val="微软雅黑"/>
        <charset val="134"/>
      </rPr>
      <t>≤</t>
    </r>
    <r>
      <rPr>
        <b/>
        <sz val="13"/>
        <color rgb="FF08090C"/>
        <rFont val="微软雅黑"/>
        <charset val="134"/>
      </rPr>
      <t>10</t>
    </r>
  </si>
  <si>
    <t>&gt;20</t>
  </si>
  <si>
    <t>2025报价LE</t>
  </si>
  <si>
    <t>单班JPH效率</t>
  </si>
  <si>
    <t>一、公用设备投入（前工程）</t>
  </si>
  <si>
    <t>需求资产</t>
  </si>
  <si>
    <t>剩余资产</t>
  </si>
  <si>
    <t>新增资产</t>
  </si>
  <si>
    <t>单价
（标准件-财务；
非标件-申购部门）</t>
  </si>
  <si>
    <t>备注</t>
  </si>
  <si>
    <t>适用范围</t>
  </si>
  <si>
    <t>供应商</t>
  </si>
  <si>
    <t>编号</t>
  </si>
  <si>
    <t>归属</t>
  </si>
  <si>
    <t>项目投资名称</t>
  </si>
  <si>
    <t>设备名称</t>
  </si>
  <si>
    <t>工艺报价参考规格型号</t>
  </si>
  <si>
    <t>单位</t>
  </si>
  <si>
    <t>数量</t>
  </si>
  <si>
    <t>金额</t>
  </si>
  <si>
    <t>A0001</t>
  </si>
  <si>
    <t>公用设备类</t>
  </si>
  <si>
    <t>开线</t>
  </si>
  <si>
    <t>全自动开线机/Kappa350</t>
  </si>
  <si>
    <t>Kappa350</t>
  </si>
  <si>
    <t>台</t>
  </si>
  <si>
    <t>全自动开线压接机/Alpha550</t>
  </si>
  <si>
    <t>Alpha550</t>
  </si>
  <si>
    <t>喷码</t>
  </si>
  <si>
    <t>激光打标机/UV-3S</t>
  </si>
  <si>
    <t>UV-3S</t>
  </si>
  <si>
    <t>焊接</t>
  </si>
  <si>
    <t>焊接机/国产机定制</t>
  </si>
  <si>
    <t>国产机定制</t>
  </si>
  <si>
    <t>二季度投入</t>
  </si>
  <si>
    <t>焊120铝（安奕吉 HVW-12/骄成 WL-B-AH9994-F）</t>
  </si>
  <si>
    <t>焊50铝（安奕吉 HVW-6/骄成 WD-AH9940-F）</t>
  </si>
  <si>
    <t>焊4方/6方铝（安奕吉 HVW-4/ WS-PH9810-F）</t>
  </si>
  <si>
    <t>并线焊（安奕吉 AW-4/骄成 WE-AH9810-L）</t>
  </si>
  <si>
    <t>压接</t>
  </si>
  <si>
    <t>大平方压接机/XYD-30T</t>
  </si>
  <si>
    <t>XYD-30T</t>
  </si>
  <si>
    <t>小平方压接机-伺服/XYD-4T</t>
  </si>
  <si>
    <t>XYD-4T</t>
  </si>
  <si>
    <t>压力监控仪</t>
  </si>
  <si>
    <t>压力监控仪/Qpex</t>
  </si>
  <si>
    <t>Qpex</t>
  </si>
  <si>
    <t>个</t>
  </si>
  <si>
    <t>去绝缘皮</t>
  </si>
  <si>
    <t>切剥翻一体机/定制2.5mm²-25mm²</t>
  </si>
  <si>
    <t>定制2.5mm²-25mm²</t>
  </si>
  <si>
    <t>切剥翻一体机/定制25mm²-70mm²</t>
  </si>
  <si>
    <t>定制25mm²-70mm²</t>
  </si>
  <si>
    <t>检测设备</t>
  </si>
  <si>
    <t>高压&amp;气密检测/定制</t>
  </si>
  <si>
    <t>定制</t>
  </si>
  <si>
    <t>高压测试台需具备检测端子到位功能</t>
  </si>
  <si>
    <t>改制1台
CGSQ-X-202600550
6400005255</t>
  </si>
  <si>
    <t>气密检测/定制</t>
  </si>
  <si>
    <t>含模块</t>
  </si>
  <si>
    <t>扭力台</t>
  </si>
  <si>
    <t>扭力站/ST-HG-SCR</t>
  </si>
  <si>
    <t>ST-HG-SCR</t>
  </si>
  <si>
    <t>热缩</t>
  </si>
  <si>
    <t>热缩机/UX1804</t>
  </si>
  <si>
    <t>UX1804</t>
  </si>
  <si>
    <t>公共制程</t>
  </si>
  <si>
    <t>履带式热缩机/XB19</t>
  </si>
  <si>
    <t>XB19</t>
  </si>
  <si>
    <t>剥头</t>
  </si>
  <si>
    <t>剥头机/Mira340</t>
  </si>
  <si>
    <t>Mira340，剥10mm²以下，公共制程</t>
  </si>
  <si>
    <t>剥头机/银钢WG-8023C</t>
  </si>
  <si>
    <t>绞线</t>
  </si>
  <si>
    <t>绞线机/BT88D</t>
  </si>
  <si>
    <t>合计</t>
  </si>
  <si>
    <t>单套费用</t>
  </si>
  <si>
    <t>二、专用设备投入（后工程）</t>
  </si>
  <si>
    <t>B0001</t>
  </si>
  <si>
    <t>专用设备</t>
  </si>
  <si>
    <t>高压气密测试模块</t>
  </si>
  <si>
    <t>高压气密测试模块/定制</t>
  </si>
  <si>
    <t>CGSQ-X-202600502
询价中，暂未生成采购订单号</t>
  </si>
  <si>
    <t>充电座的需增加插拔次数监控功能</t>
  </si>
  <si>
    <t>卡钉台</t>
  </si>
  <si>
    <t>卡钉测试台/中（20≤模块数≥11）</t>
  </si>
  <si>
    <t>中（20≤模块数≥11）</t>
  </si>
  <si>
    <t>仅新购21个模块
CGSQ-X-202600983
财务部长处，暂未生成采购订单号</t>
  </si>
  <si>
    <t>CCD检查机</t>
  </si>
  <si>
    <t>CCD检查机/定制</t>
  </si>
  <si>
    <t>压接机（压端子）&amp;焊接机有CCD检查</t>
  </si>
  <si>
    <t>pc</t>
  </si>
  <si>
    <t>第二页</t>
  </si>
  <si>
    <t>总量纲</t>
  </si>
  <si>
    <t>填写说明：</t>
  </si>
  <si>
    <t>1. 涉及自动化产线投资金额，自动化产线-公用件占比全产线金额的80%；自动化产线-专用件占比全产线金额的20%；</t>
  </si>
  <si>
    <t>2. 涉及自动化产线需在备注列维护内容：a.公共部分占比自动化设备费用80%；
2、xx平参考设备尺寸：xxm*xxm*xxm；
3、涉及工序：开线，剥皮，去屏蔽层，预装；压接屏蔽环；压接端子；装塑壳；插位；</t>
  </si>
  <si>
    <t>3. 如果项目设备/项目专用模具/项目工装投入表格中涉及新增内容在下拉箭头中无法选中，通知设备工程师至W:\昆山泽轩\动能工业中心\前期工艺部\04-前期设备中“泽轩设备数据库信息”中添加新增设备信息；</t>
  </si>
  <si>
    <t>专用模具投入</t>
  </si>
  <si>
    <t>需求模具（元）</t>
  </si>
  <si>
    <t>沿用模具（元）</t>
  </si>
  <si>
    <t>新增模具（元）</t>
  </si>
  <si>
    <t>备   注</t>
  </si>
  <si>
    <t>单价</t>
  </si>
  <si>
    <t>名称</t>
  </si>
  <si>
    <t>型号</t>
  </si>
  <si>
    <t>需求数量</t>
  </si>
  <si>
    <t>需求金额</t>
  </si>
  <si>
    <t>沿用数量</t>
  </si>
  <si>
    <t>沿用金额</t>
  </si>
  <si>
    <t>新增数量</t>
  </si>
  <si>
    <t>新增金额</t>
  </si>
  <si>
    <t>设备按生命周期量核算模具的数量(低压模具20万次；高压模具5万次；防水栓模具无限制生命周期)</t>
  </si>
  <si>
    <t>C0001</t>
  </si>
  <si>
    <t>模具类</t>
  </si>
  <si>
    <t>模具/模块/治具</t>
  </si>
  <si>
    <t>压接模具/大模具（50行程）</t>
  </si>
  <si>
    <t>大模具（50行程）</t>
  </si>
  <si>
    <t>CGSQ-X-202600379
6400005186</t>
  </si>
  <si>
    <t>压接模具/小模具（40行程）</t>
  </si>
  <si>
    <t>小模具（40行程）</t>
  </si>
  <si>
    <t>压接模具改制
CGSQ-X-202600537
6300022537</t>
  </si>
  <si>
    <t>焊接治具/焊接治具</t>
  </si>
  <si>
    <t>焊接治具</t>
  </si>
  <si>
    <t>CGSQ-X-202600539
6400005221
6400005219</t>
  </si>
  <si>
    <t>4mm²切剥翻导管</t>
  </si>
  <si>
    <t>-</t>
  </si>
  <si>
    <t>CGSQ-X-202600786
6300023078</t>
  </si>
  <si>
    <t>防水栓模具</t>
  </si>
  <si>
    <t>热缩治具/　</t>
  </si>
  <si>
    <t>　</t>
  </si>
  <si>
    <t>扭力站固定模具/　</t>
  </si>
  <si>
    <t>第三页</t>
  </si>
  <si>
    <t>说明：模具，夹具，模块</t>
  </si>
  <si>
    <t>新增工装投入</t>
  </si>
  <si>
    <t>需求工装（元）</t>
  </si>
  <si>
    <t>沿用工装（元）</t>
  </si>
  <si>
    <t>新增工装（元）</t>
  </si>
  <si>
    <t>规格型号</t>
  </si>
  <si>
    <t>预估/实际数量</t>
  </si>
  <si>
    <t>预估/实际金额</t>
  </si>
  <si>
    <t>D0001</t>
  </si>
  <si>
    <t>工装类</t>
  </si>
  <si>
    <t>电脑</t>
  </si>
  <si>
    <t>电脑/一体机</t>
  </si>
  <si>
    <t>一体机</t>
  </si>
  <si>
    <t>辅助工装</t>
  </si>
  <si>
    <t>气动辅助工装/定制</t>
  </si>
  <si>
    <t>插位回拉工装/定制</t>
  </si>
  <si>
    <t>QDKZQ</t>
  </si>
  <si>
    <t>插位诱导工装/定制</t>
  </si>
  <si>
    <t>插拔力测试工装/定制</t>
  </si>
  <si>
    <t>验证3D打印可行性中，预计投入工装模块</t>
  </si>
  <si>
    <t>焊接机侧推工装/定制</t>
  </si>
  <si>
    <t>扭力检测仪</t>
  </si>
  <si>
    <t>扭力检测仪/-</t>
  </si>
  <si>
    <t>橡胶件气动扩张钳/QDKZQ</t>
  </si>
  <si>
    <t>单套成本</t>
  </si>
  <si>
    <t>第四页</t>
  </si>
  <si>
    <t>金额单位：元</t>
  </si>
  <si>
    <t>研发费用成本（不包含收费样线）</t>
  </si>
  <si>
    <t>E0001</t>
  </si>
  <si>
    <t>研发费用类</t>
  </si>
  <si>
    <t>原 材 料</t>
  </si>
  <si>
    <t>E0002</t>
  </si>
  <si>
    <t>手工样线</t>
  </si>
  <si>
    <t>E0003</t>
  </si>
  <si>
    <t>试验样线/样品费用</t>
  </si>
  <si>
    <t>E0004</t>
  </si>
  <si>
    <t>工    资</t>
  </si>
  <si>
    <t>E0005</t>
  </si>
  <si>
    <t>差 旅 费</t>
  </si>
  <si>
    <t>E0006</t>
  </si>
  <si>
    <t>交 际 费</t>
  </si>
  <si>
    <t>E0007</t>
  </si>
  <si>
    <t>常规DVP测试</t>
  </si>
  <si>
    <t>E0008</t>
  </si>
  <si>
    <t>实验费</t>
  </si>
  <si>
    <t>E0009</t>
  </si>
  <si>
    <t>资讯设备费</t>
  </si>
  <si>
    <t>E0010</t>
  </si>
  <si>
    <t>空运费</t>
  </si>
  <si>
    <t>E0011</t>
  </si>
  <si>
    <t>气味实验</t>
  </si>
  <si>
    <t>管理费用</t>
  </si>
  <si>
    <t>59,791元,费用总金额*5%</t>
  </si>
  <si>
    <t>E0012</t>
  </si>
  <si>
    <t>专利费</t>
  </si>
  <si>
    <t>E0013</t>
  </si>
  <si>
    <t>场地租赁</t>
  </si>
  <si>
    <t>第五页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</si>
</sst>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&quot; &quot;#,##0.00&quot; &quot;[$€-407]&quot; &quot;;&quot;-&quot;#,##0.00&quot; &quot;[$€-407]&quot; &quot;;&quot; -&quot;00&quot; &quot;[$€-407]&quot; &quot;;&quot; &quot;@&quot; &quot;"/>
    <numFmt numFmtId="178" formatCode="_-* #,##0.0\ [$€-1]_-;\-* #,##0.0\ [$€-1]_-;_-* &quot;-&quot;??\ [$€-1]_-"/>
    <numFmt numFmtId="179" formatCode="#,##0\ [$€-1];[Red]\-#,##0\ [$€-1]"/>
    <numFmt numFmtId="180" formatCode="0.000_ "/>
    <numFmt numFmtId="181" formatCode="_ * #,##0_ ;_ * \-#,##0_ ;_ * &quot;-&quot;??_ ;_ @_ "/>
    <numFmt numFmtId="182" formatCode="0.00_ "/>
    <numFmt numFmtId="183" formatCode="0.0_);[Red]\(0.0\)"/>
    <numFmt numFmtId="184" formatCode="_ * #,##0.00_ ;_ * \-#,##0.00_ ;_ * &quot;-&quot;??.0_ ;_ @_ "/>
    <numFmt numFmtId="185" formatCode="_ * #,##0.0_ ;_ * \-#,##0.0_ ;_ * &quot;-&quot;??_ ;_ @_ "/>
    <numFmt numFmtId="186" formatCode="0.0_ "/>
    <numFmt numFmtId="187" formatCode="0.0"/>
    <numFmt numFmtId="188" formatCode="&quot;项&quot;&quot;目&quot;&quot;生&quot;&quot;命&quot;&quot;周&quot;&quot;期&quot;\:#&quot;年&quot;"/>
    <numFmt numFmtId="189" formatCode="0.000_);[Red]\(0.000\)"/>
    <numFmt numFmtId="190" formatCode="0.00_);[Red]\(0.00\)"/>
    <numFmt numFmtId="191" formatCode="#,##0.00_ "/>
    <numFmt numFmtId="192" formatCode="0_ "/>
    <numFmt numFmtId="193" formatCode="_ * #,##0.00_ ;_ * \-#,##0.00_ ;_ * &quot;-&quot;??.00_ ;_ @_ "/>
    <numFmt numFmtId="194" formatCode="_ * #,##0.0_ ;_ * \-#,##0.0_ ;_ * &quot;-&quot;??.0_ ;_ @_ "/>
  </numFmts>
  <fonts count="54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b/>
      <u/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8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indexed="8"/>
      <name val="微软雅黑"/>
      <charset val="134"/>
    </font>
    <font>
      <sz val="8"/>
      <name val="微软雅黑"/>
      <charset val="134"/>
    </font>
    <font>
      <sz val="11"/>
      <name val="微软雅黑"/>
      <charset val="134"/>
    </font>
    <font>
      <b/>
      <sz val="8"/>
      <color theme="1"/>
      <name val="微软雅黑"/>
      <charset val="134"/>
    </font>
    <font>
      <sz val="18"/>
      <color theme="1"/>
      <name val="微软雅黑"/>
      <charset val="134"/>
    </font>
    <font>
      <b/>
      <sz val="13"/>
      <color rgb="FF000000"/>
      <name val="微软雅黑"/>
      <charset val="134"/>
    </font>
    <font>
      <b/>
      <sz val="13"/>
      <color rgb="FF08090C"/>
      <name val="微软雅黑"/>
      <charset val="134"/>
    </font>
    <font>
      <sz val="13"/>
      <color rgb="FF08090C"/>
      <name val="微软雅黑"/>
      <charset val="134"/>
    </font>
    <font>
      <b/>
      <sz val="10"/>
      <color rgb="FF0033CC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rgb="FF0033CC"/>
      <name val="微软雅黑"/>
      <charset val="134"/>
    </font>
    <font>
      <sz val="11"/>
      <color rgb="FF000000"/>
      <name val="微软雅黑"/>
      <charset val="134"/>
    </font>
    <font>
      <u/>
      <sz val="10"/>
      <color theme="1"/>
      <name val="微软雅黑"/>
      <charset val="134"/>
    </font>
    <font>
      <u/>
      <sz val="10"/>
      <color rgb="FF0033CC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sz val="9.5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6" tint="0.79970702230903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 style="medium">
        <color rgb="FF0D0D0D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8" borderId="4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5" fillId="0" borderId="43" applyNumberFormat="0" applyFill="0" applyAlignment="0" applyProtection="0">
      <alignment vertical="center"/>
    </xf>
    <xf numFmtId="0" fontId="36" fillId="0" borderId="4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9" borderId="45" applyNumberFormat="0" applyAlignment="0" applyProtection="0">
      <alignment vertical="center"/>
    </xf>
    <xf numFmtId="0" fontId="38" fillId="20" borderId="46" applyNumberFormat="0" applyAlignment="0" applyProtection="0">
      <alignment vertical="center"/>
    </xf>
    <xf numFmtId="0" fontId="39" fillId="20" borderId="45" applyNumberFormat="0" applyAlignment="0" applyProtection="0">
      <alignment vertical="center"/>
    </xf>
    <xf numFmtId="0" fontId="40" fillId="21" borderId="47" applyNumberFormat="0" applyAlignment="0" applyProtection="0">
      <alignment vertical="center"/>
    </xf>
    <xf numFmtId="0" fontId="41" fillId="0" borderId="48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8" fillId="0" borderId="0"/>
    <xf numFmtId="0" fontId="49" fillId="0" borderId="0"/>
    <xf numFmtId="176" fontId="49" fillId="0" borderId="0"/>
    <xf numFmtId="177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0" fontId="0" fillId="0" borderId="0">
      <alignment vertical="center"/>
    </xf>
    <xf numFmtId="0" fontId="0" fillId="0" borderId="0"/>
    <xf numFmtId="0" fontId="48" fillId="0" borderId="0">
      <alignment vertical="center"/>
    </xf>
    <xf numFmtId="0" fontId="50" fillId="0" borderId="0" applyNumberFormat="0" applyFon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9" fillId="0" borderId="0"/>
    <xf numFmtId="0" fontId="0" fillId="0" borderId="0"/>
    <xf numFmtId="0" fontId="0" fillId="0" borderId="0">
      <alignment vertical="center"/>
    </xf>
    <xf numFmtId="0" fontId="5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</cellStyleXfs>
  <cellXfs count="415">
    <xf numFmtId="0" fontId="0" fillId="0" borderId="0" xfId="0">
      <alignment vertical="center"/>
    </xf>
    <xf numFmtId="0" fontId="1" fillId="0" borderId="0" xfId="53" applyFont="1" applyFill="1">
      <alignment vertical="center"/>
    </xf>
    <xf numFmtId="0" fontId="2" fillId="0" borderId="0" xfId="53" applyFont="1" applyFill="1">
      <alignment vertical="center"/>
    </xf>
    <xf numFmtId="43" fontId="2" fillId="0" borderId="0" xfId="1" applyFont="1" applyFill="1">
      <alignment vertical="center"/>
    </xf>
    <xf numFmtId="0" fontId="3" fillId="0" borderId="0" xfId="53" applyFont="1" applyAlignment="1">
      <alignment horizontal="left" vertical="center"/>
    </xf>
    <xf numFmtId="0" fontId="4" fillId="0" borderId="0" xfId="53" applyFont="1" applyFill="1" applyAlignment="1">
      <alignment horizontal="left" vertical="center"/>
    </xf>
    <xf numFmtId="0" fontId="1" fillId="0" borderId="1" xfId="53" applyFont="1" applyFill="1" applyBorder="1" applyAlignment="1">
      <alignment horizontal="right" vertical="center"/>
    </xf>
    <xf numFmtId="0" fontId="2" fillId="0" borderId="1" xfId="53" applyFont="1" applyFill="1" applyBorder="1" applyAlignment="1">
      <alignment horizontal="right" vertical="center"/>
    </xf>
    <xf numFmtId="0" fontId="5" fillId="0" borderId="2" xfId="53" applyFont="1" applyFill="1" applyBorder="1" applyAlignment="1">
      <alignment horizontal="left" vertical="center" wrapText="1"/>
    </xf>
    <xf numFmtId="0" fontId="5" fillId="0" borderId="3" xfId="53" applyFont="1" applyFill="1" applyBorder="1" applyAlignment="1">
      <alignment horizontal="left" vertical="center" wrapText="1"/>
    </xf>
    <xf numFmtId="0" fontId="2" fillId="0" borderId="3" xfId="53" applyFont="1" applyFill="1" applyBorder="1" applyAlignment="1">
      <alignment horizontal="center" vertical="center" wrapText="1"/>
    </xf>
    <xf numFmtId="0" fontId="2" fillId="0" borderId="4" xfId="53" applyFont="1" applyFill="1" applyBorder="1" applyAlignment="1">
      <alignment vertical="center" wrapText="1"/>
    </xf>
    <xf numFmtId="176" fontId="6" fillId="0" borderId="5" xfId="51" applyNumberFormat="1" applyFont="1" applyFill="1" applyBorder="1" applyAlignment="1">
      <alignment horizontal="left" vertical="center"/>
    </xf>
    <xf numFmtId="0" fontId="6" fillId="0" borderId="5" xfId="51" applyNumberFormat="1" applyFont="1" applyFill="1" applyBorder="1" applyAlignment="1">
      <alignment horizontal="left" vertical="center" wrapText="1"/>
    </xf>
    <xf numFmtId="0" fontId="2" fillId="0" borderId="5" xfId="53" applyFont="1" applyFill="1" applyBorder="1" applyAlignment="1">
      <alignment horizontal="left" vertical="center"/>
    </xf>
    <xf numFmtId="0" fontId="2" fillId="0" borderId="5" xfId="53" applyFont="1" applyFill="1" applyBorder="1" applyAlignment="1">
      <alignment horizontal="center" vertical="center" wrapText="1"/>
    </xf>
    <xf numFmtId="43" fontId="2" fillId="0" borderId="5" xfId="1" applyFont="1" applyFill="1" applyBorder="1" applyAlignment="1">
      <alignment horizontal="center" vertical="center" wrapText="1"/>
    </xf>
    <xf numFmtId="0" fontId="2" fillId="0" borderId="6" xfId="53" applyFont="1" applyFill="1" applyBorder="1" applyAlignment="1">
      <alignment horizontal="left" vertical="center" wrapText="1"/>
    </xf>
    <xf numFmtId="43" fontId="6" fillId="0" borderId="5" xfId="51" applyNumberFormat="1" applyFont="1" applyFill="1" applyBorder="1" applyAlignment="1">
      <alignment horizontal="left" vertical="center"/>
    </xf>
    <xf numFmtId="43" fontId="2" fillId="0" borderId="5" xfId="53" applyNumberFormat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 wrapText="1"/>
    </xf>
    <xf numFmtId="43" fontId="2" fillId="0" borderId="6" xfId="1" applyFont="1" applyFill="1" applyBorder="1" applyAlignment="1">
      <alignment horizontal="center" vertical="center" wrapText="1"/>
    </xf>
    <xf numFmtId="43" fontId="2" fillId="0" borderId="5" xfId="53" applyNumberFormat="1" applyFont="1" applyFill="1" applyBorder="1">
      <alignment vertical="center"/>
    </xf>
    <xf numFmtId="43" fontId="2" fillId="0" borderId="5" xfId="1" applyFont="1" applyFill="1" applyBorder="1" applyAlignment="1">
      <alignment horizontal="right" vertical="center"/>
    </xf>
    <xf numFmtId="43" fontId="2" fillId="0" borderId="5" xfId="53" applyNumberFormat="1" applyFont="1" applyFill="1" applyBorder="1" applyAlignment="1">
      <alignment horizontal="center" vertical="center" wrapText="1"/>
    </xf>
    <xf numFmtId="43" fontId="2" fillId="0" borderId="0" xfId="1" applyFont="1" applyFill="1" applyBorder="1">
      <alignment vertical="center"/>
    </xf>
    <xf numFmtId="43" fontId="2" fillId="0" borderId="0" xfId="53" applyNumberFormat="1" applyFont="1" applyFill="1" applyBorder="1">
      <alignment vertical="center"/>
    </xf>
    <xf numFmtId="43" fontId="2" fillId="0" borderId="6" xfId="1" applyFont="1" applyFill="1" applyBorder="1" applyAlignment="1">
      <alignment horizontal="left" vertical="center" wrapText="1"/>
    </xf>
    <xf numFmtId="0" fontId="2" fillId="0" borderId="1" xfId="53" applyFont="1" applyFill="1" applyBorder="1" applyAlignment="1">
      <alignment horizontal="left" vertical="center"/>
    </xf>
    <xf numFmtId="0" fontId="2" fillId="0" borderId="8" xfId="53" applyFont="1" applyFill="1" applyBorder="1">
      <alignment vertical="center"/>
    </xf>
    <xf numFmtId="43" fontId="2" fillId="0" borderId="8" xfId="1" applyFont="1" applyFill="1" applyBorder="1">
      <alignment vertical="center"/>
    </xf>
    <xf numFmtId="0" fontId="2" fillId="0" borderId="9" xfId="53" applyFont="1" applyFill="1" applyBorder="1">
      <alignment vertical="center"/>
    </xf>
    <xf numFmtId="0" fontId="6" fillId="0" borderId="10" xfId="51" applyNumberFormat="1" applyFont="1" applyFill="1" applyBorder="1" applyAlignment="1">
      <alignment horizontal="left" vertical="center" wrapText="1"/>
    </xf>
    <xf numFmtId="43" fontId="6" fillId="0" borderId="10" xfId="1" applyFont="1" applyFill="1" applyBorder="1" applyAlignment="1">
      <alignment horizontal="right" vertical="center" wrapText="1"/>
    </xf>
    <xf numFmtId="0" fontId="2" fillId="0" borderId="11" xfId="53" applyFont="1" applyBorder="1">
      <alignment vertical="center"/>
    </xf>
    <xf numFmtId="176" fontId="6" fillId="0" borderId="0" xfId="51" applyNumberFormat="1" applyFont="1" applyFill="1" applyBorder="1" applyAlignment="1">
      <alignment horizontal="left" vertical="center"/>
    </xf>
    <xf numFmtId="0" fontId="2" fillId="0" borderId="0" xfId="53" applyFont="1" applyFill="1" applyBorder="1">
      <alignment vertical="center"/>
    </xf>
    <xf numFmtId="43" fontId="2" fillId="0" borderId="0" xfId="1" applyFont="1" applyFill="1" applyBorder="1" applyAlignment="1">
      <alignment horizontal="right" vertical="center"/>
    </xf>
    <xf numFmtId="0" fontId="6" fillId="0" borderId="0" xfId="51" applyNumberFormat="1" applyFont="1" applyFill="1" applyBorder="1" applyAlignment="1">
      <alignment horizontal="left" vertical="center" wrapText="1"/>
    </xf>
    <xf numFmtId="180" fontId="2" fillId="0" borderId="0" xfId="53" applyNumberFormat="1" applyFont="1" applyFill="1">
      <alignment vertical="center"/>
    </xf>
    <xf numFmtId="0" fontId="2" fillId="0" borderId="0" xfId="53" applyFont="1" applyFill="1" applyAlignment="1">
      <alignment horizontal="right" vertical="center"/>
    </xf>
    <xf numFmtId="0" fontId="7" fillId="0" borderId="0" xfId="53" applyFont="1" applyAlignment="1">
      <alignment horizontal="center" vertical="center"/>
    </xf>
    <xf numFmtId="0" fontId="8" fillId="0" borderId="0" xfId="53" applyFont="1" applyAlignment="1">
      <alignment horizontal="center" vertical="center"/>
    </xf>
    <xf numFmtId="0" fontId="9" fillId="0" borderId="0" xfId="53" applyFont="1" applyAlignment="1">
      <alignment horizontal="center" vertical="center"/>
    </xf>
    <xf numFmtId="0" fontId="8" fillId="0" borderId="0" xfId="53" applyNumberFormat="1" applyFont="1" applyAlignment="1">
      <alignment horizontal="center" vertical="center"/>
    </xf>
    <xf numFmtId="0" fontId="5" fillId="0" borderId="2" xfId="53" applyFont="1" applyFill="1" applyBorder="1" applyAlignment="1">
      <alignment horizontal="center" vertical="center" wrapText="1"/>
    </xf>
    <xf numFmtId="0" fontId="5" fillId="0" borderId="3" xfId="53" applyFont="1" applyFill="1" applyBorder="1" applyAlignment="1">
      <alignment horizontal="center" vertical="center" wrapText="1"/>
    </xf>
    <xf numFmtId="0" fontId="2" fillId="2" borderId="12" xfId="53" applyFont="1" applyFill="1" applyBorder="1" applyAlignment="1">
      <alignment horizontal="center" vertical="center" wrapText="1"/>
    </xf>
    <xf numFmtId="0" fontId="2" fillId="2" borderId="2" xfId="53" applyFont="1" applyFill="1" applyBorder="1" applyAlignment="1">
      <alignment horizontal="center" vertical="center" wrapText="1"/>
    </xf>
    <xf numFmtId="0" fontId="2" fillId="0" borderId="13" xfId="53" applyFont="1" applyFill="1" applyBorder="1" applyAlignment="1">
      <alignment horizontal="center" vertical="center" wrapText="1"/>
    </xf>
    <xf numFmtId="0" fontId="2" fillId="0" borderId="13" xfId="53" applyFont="1" applyFill="1" applyBorder="1" applyAlignment="1">
      <alignment vertical="center" wrapText="1"/>
    </xf>
    <xf numFmtId="0" fontId="2" fillId="0" borderId="13" xfId="0" applyFont="1" applyFill="1" applyBorder="1" applyAlignment="1" applyProtection="1">
      <alignment vertical="center" wrapText="1"/>
    </xf>
    <xf numFmtId="176" fontId="6" fillId="0" borderId="14" xfId="51" applyNumberFormat="1" applyFont="1" applyFill="1" applyBorder="1" applyAlignment="1">
      <alignment horizontal="center" vertical="center"/>
    </xf>
    <xf numFmtId="0" fontId="6" fillId="0" borderId="5" xfId="51" applyNumberFormat="1" applyFont="1" applyFill="1" applyBorder="1" applyAlignment="1">
      <alignment horizontal="center" vertical="center" wrapText="1"/>
    </xf>
    <xf numFmtId="0" fontId="2" fillId="0" borderId="5" xfId="53" applyFont="1" applyFill="1" applyBorder="1" applyAlignment="1">
      <alignment horizontal="center" vertical="center"/>
    </xf>
    <xf numFmtId="0" fontId="2" fillId="2" borderId="5" xfId="53" applyFont="1" applyFill="1" applyBorder="1" applyAlignment="1">
      <alignment horizontal="center" vertical="center" wrapText="1"/>
    </xf>
    <xf numFmtId="0" fontId="2" fillId="0" borderId="15" xfId="53" applyFont="1" applyFill="1" applyBorder="1" applyAlignment="1">
      <alignment horizontal="center" vertical="center" wrapText="1"/>
    </xf>
    <xf numFmtId="0" fontId="2" fillId="0" borderId="15" xfId="53" applyFont="1" applyFill="1" applyBorder="1" applyAlignment="1">
      <alignment vertical="center" wrapText="1"/>
    </xf>
    <xf numFmtId="0" fontId="2" fillId="0" borderId="16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vertical="center" wrapText="1"/>
    </xf>
    <xf numFmtId="0" fontId="2" fillId="0" borderId="1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Fill="1" applyBorder="1">
      <alignment vertical="center"/>
    </xf>
    <xf numFmtId="181" fontId="2" fillId="3" borderId="5" xfId="0" applyNumberFormat="1" applyFont="1" applyFill="1" applyBorder="1" applyAlignment="1">
      <alignment horizontal="right" vertical="center"/>
    </xf>
    <xf numFmtId="182" fontId="2" fillId="3" borderId="5" xfId="0" applyNumberFormat="1" applyFont="1" applyFill="1" applyBorder="1" applyAlignment="1">
      <alignment horizontal="right" vertical="center"/>
    </xf>
    <xf numFmtId="1" fontId="10" fillId="4" borderId="5" xfId="0" applyNumberFormat="1" applyFont="1" applyFill="1" applyBorder="1" applyAlignment="1" applyProtection="1">
      <alignment horizontal="right" vertical="center"/>
    </xf>
    <xf numFmtId="181" fontId="2" fillId="5" borderId="5" xfId="1" applyNumberFormat="1" applyFont="1" applyFill="1" applyBorder="1" applyAlignment="1">
      <alignment horizontal="center" vertical="center"/>
    </xf>
    <xf numFmtId="181" fontId="2" fillId="5" borderId="5" xfId="0" applyNumberFormat="1" applyFont="1" applyFill="1" applyBorder="1" applyAlignment="1">
      <alignment horizontal="right" vertical="center"/>
    </xf>
    <xf numFmtId="181" fontId="2" fillId="5" borderId="5" xfId="0" applyNumberFormat="1" applyFont="1" applyFill="1" applyBorder="1" applyAlignment="1">
      <alignment horizontal="center" vertical="center"/>
    </xf>
    <xf numFmtId="43" fontId="10" fillId="6" borderId="5" xfId="0" applyNumberFormat="1" applyFont="1" applyFill="1" applyBorder="1" applyAlignment="1" applyProtection="1">
      <alignment horizontal="center" vertical="center"/>
    </xf>
    <xf numFmtId="43" fontId="2" fillId="0" borderId="15" xfId="0" applyNumberFormat="1" applyFont="1" applyFill="1" applyBorder="1" applyAlignment="1" applyProtection="1">
      <alignment horizontal="center" vertical="center" wrapText="1"/>
    </xf>
    <xf numFmtId="181" fontId="2" fillId="5" borderId="5" xfId="0" applyNumberFormat="1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left" vertical="center"/>
    </xf>
    <xf numFmtId="181" fontId="2" fillId="5" borderId="15" xfId="53" applyNumberFormat="1" applyFont="1" applyFill="1" applyBorder="1" applyAlignment="1">
      <alignment horizontal="center" vertical="center" wrapText="1"/>
    </xf>
    <xf numFmtId="43" fontId="2" fillId="7" borderId="5" xfId="0" applyNumberFormat="1" applyFont="1" applyFill="1" applyBorder="1" applyAlignment="1">
      <alignment horizontal="center" vertical="center"/>
    </xf>
    <xf numFmtId="0" fontId="2" fillId="0" borderId="14" xfId="53" applyFont="1" applyFill="1" applyBorder="1" applyAlignment="1">
      <alignment horizontal="left" vertical="center"/>
    </xf>
    <xf numFmtId="0" fontId="2" fillId="0" borderId="5" xfId="53" applyFont="1" applyFill="1" applyBorder="1">
      <alignment vertical="center"/>
    </xf>
    <xf numFmtId="181" fontId="2" fillId="2" borderId="5" xfId="53" applyNumberFormat="1" applyFont="1" applyFill="1" applyBorder="1" applyAlignment="1">
      <alignment horizontal="center" vertical="center" wrapText="1"/>
    </xf>
    <xf numFmtId="43" fontId="2" fillId="2" borderId="5" xfId="1" applyFont="1" applyFill="1" applyBorder="1" applyAlignment="1">
      <alignment horizontal="center" vertical="center" wrapText="1"/>
    </xf>
    <xf numFmtId="43" fontId="2" fillId="0" borderId="15" xfId="53" applyNumberFormat="1" applyFont="1" applyFill="1" applyBorder="1" applyAlignment="1">
      <alignment horizontal="center" vertical="center" wrapText="1"/>
    </xf>
    <xf numFmtId="181" fontId="2" fillId="5" borderId="15" xfId="53" applyNumberFormat="1" applyFont="1" applyFill="1" applyBorder="1" applyAlignment="1">
      <alignment horizontal="left" vertical="center" wrapText="1"/>
    </xf>
    <xf numFmtId="0" fontId="2" fillId="5" borderId="15" xfId="53" applyFont="1" applyFill="1" applyBorder="1" applyAlignment="1">
      <alignment horizontal="center" vertical="center" wrapText="1"/>
    </xf>
    <xf numFmtId="181" fontId="2" fillId="2" borderId="5" xfId="1" applyNumberFormat="1" applyFont="1" applyFill="1" applyBorder="1" applyAlignment="1">
      <alignment vertical="center"/>
    </xf>
    <xf numFmtId="183" fontId="2" fillId="0" borderId="15" xfId="53" applyNumberFormat="1" applyFont="1" applyFill="1" applyBorder="1" applyAlignment="1">
      <alignment horizontal="center" vertical="center" wrapText="1"/>
    </xf>
    <xf numFmtId="0" fontId="2" fillId="0" borderId="1" xfId="53" applyFont="1" applyFill="1" applyBorder="1" applyAlignment="1">
      <alignment horizontal="center" vertical="center"/>
    </xf>
    <xf numFmtId="0" fontId="2" fillId="2" borderId="8" xfId="53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8" xfId="53" applyFont="1" applyBorder="1" applyAlignment="1">
      <alignment horizontal="center" vertical="center"/>
    </xf>
    <xf numFmtId="0" fontId="2" fillId="0" borderId="18" xfId="53" applyFont="1" applyBorder="1" applyAlignment="1">
      <alignment horizontal="center" vertical="center"/>
    </xf>
    <xf numFmtId="43" fontId="2" fillId="0" borderId="19" xfId="53" applyNumberFormat="1" applyFont="1" applyFill="1" applyBorder="1" applyAlignment="1">
      <alignment vertical="center" wrapText="1"/>
    </xf>
    <xf numFmtId="0" fontId="6" fillId="0" borderId="10" xfId="51" applyNumberFormat="1" applyFont="1" applyFill="1" applyBorder="1" applyAlignment="1">
      <alignment horizontal="center" vertical="center" wrapText="1"/>
    </xf>
    <xf numFmtId="43" fontId="6" fillId="0" borderId="10" xfId="51" applyNumberFormat="1" applyFont="1" applyFill="1" applyBorder="1" applyAlignment="1">
      <alignment horizontal="center" vertical="center" wrapText="1"/>
    </xf>
    <xf numFmtId="43" fontId="8" fillId="0" borderId="0" xfId="53" applyNumberFormat="1" applyFont="1" applyAlignment="1">
      <alignment horizontal="center" vertical="center"/>
    </xf>
    <xf numFmtId="43" fontId="7" fillId="0" borderId="0" xfId="53" applyNumberFormat="1" applyFont="1" applyAlignment="1">
      <alignment horizontal="center" vertical="center"/>
    </xf>
    <xf numFmtId="184" fontId="7" fillId="0" borderId="0" xfId="53" applyNumberFormat="1" applyFont="1" applyAlignment="1">
      <alignment horizontal="center" vertical="center"/>
    </xf>
    <xf numFmtId="0" fontId="8" fillId="0" borderId="0" xfId="53" applyFont="1" applyAlignment="1">
      <alignment horizontal="left" vertical="center"/>
    </xf>
    <xf numFmtId="0" fontId="7" fillId="0" borderId="0" xfId="53" applyFont="1">
      <alignment vertical="center"/>
    </xf>
    <xf numFmtId="0" fontId="8" fillId="0" borderId="0" xfId="53" applyFont="1">
      <alignment vertical="center"/>
    </xf>
    <xf numFmtId="0" fontId="9" fillId="0" borderId="0" xfId="53" applyFont="1" applyAlignment="1">
      <alignment horizontal="left" vertical="center"/>
    </xf>
    <xf numFmtId="0" fontId="8" fillId="0" borderId="0" xfId="53" applyFont="1" applyAlignment="1" applyProtection="1">
      <alignment horizontal="center" vertical="center"/>
    </xf>
    <xf numFmtId="0" fontId="5" fillId="0" borderId="10" xfId="53" applyFont="1" applyFill="1" applyBorder="1" applyAlignment="1">
      <alignment vertical="center"/>
    </xf>
    <xf numFmtId="0" fontId="5" fillId="0" borderId="20" xfId="53" applyFont="1" applyFill="1" applyBorder="1" applyAlignment="1">
      <alignment vertical="center"/>
    </xf>
    <xf numFmtId="0" fontId="2" fillId="8" borderId="3" xfId="53" applyFont="1" applyFill="1" applyBorder="1" applyAlignment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176" fontId="6" fillId="0" borderId="14" xfId="51" applyNumberFormat="1" applyFont="1" applyFill="1" applyBorder="1" applyAlignment="1">
      <alignment horizontal="left" vertical="center"/>
    </xf>
    <xf numFmtId="0" fontId="2" fillId="8" borderId="5" xfId="53" applyFont="1" applyFill="1" applyBorder="1" applyAlignment="1">
      <alignment horizontal="center" vertical="center" wrapText="1"/>
    </xf>
    <xf numFmtId="0" fontId="2" fillId="0" borderId="7" xfId="53" applyFont="1" applyFill="1" applyBorder="1" applyAlignment="1">
      <alignment horizontal="left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176" fontId="11" fillId="0" borderId="14" xfId="51" applyNumberFormat="1" applyFont="1" applyFill="1" applyBorder="1" applyAlignment="1">
      <alignment horizontal="left" vertical="center"/>
    </xf>
    <xf numFmtId="176" fontId="11" fillId="0" borderId="5" xfId="51" applyNumberFormat="1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 applyProtection="1">
      <alignment horizontal="left" vertical="center"/>
    </xf>
    <xf numFmtId="185" fontId="2" fillId="9" borderId="5" xfId="1" applyNumberFormat="1" applyFont="1" applyFill="1" applyBorder="1" applyAlignment="1">
      <alignment horizontal="center" vertical="center"/>
    </xf>
    <xf numFmtId="181" fontId="2" fillId="9" borderId="5" xfId="0" applyNumberFormat="1" applyFont="1" applyFill="1" applyBorder="1">
      <alignment vertical="center"/>
    </xf>
    <xf numFmtId="181" fontId="2" fillId="9" borderId="5" xfId="1" applyNumberFormat="1" applyFont="1" applyFill="1" applyBorder="1" applyAlignment="1">
      <alignment horizontal="center" vertical="center"/>
    </xf>
    <xf numFmtId="43" fontId="2" fillId="9" borderId="5" xfId="0" applyNumberFormat="1" applyFont="1" applyFill="1" applyBorder="1">
      <alignment vertical="center"/>
    </xf>
    <xf numFmtId="43" fontId="2" fillId="5" borderId="5" xfId="0" applyNumberFormat="1" applyFont="1" applyFill="1" applyBorder="1">
      <alignment vertical="center"/>
    </xf>
    <xf numFmtId="0" fontId="2" fillId="5" borderId="21" xfId="0" applyFont="1" applyFill="1" applyBorder="1" applyAlignment="1">
      <alignment horizontal="left" vertical="center" wrapText="1"/>
    </xf>
    <xf numFmtId="181" fontId="2" fillId="5" borderId="22" xfId="1" applyNumberFormat="1" applyFont="1" applyFill="1" applyBorder="1" applyAlignment="1">
      <alignment vertical="center" wrapText="1"/>
    </xf>
    <xf numFmtId="1" fontId="2" fillId="0" borderId="22" xfId="0" applyNumberFormat="1" applyFont="1" applyFill="1" applyBorder="1" applyAlignment="1">
      <alignment horizontal="center" vertical="center" wrapText="1"/>
    </xf>
    <xf numFmtId="185" fontId="2" fillId="9" borderId="5" xfId="0" applyNumberFormat="1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left" vertical="center"/>
    </xf>
    <xf numFmtId="186" fontId="2" fillId="10" borderId="5" xfId="0" applyNumberFormat="1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vertical="center" wrapText="1"/>
    </xf>
    <xf numFmtId="186" fontId="2" fillId="10" borderId="17" xfId="0" applyNumberFormat="1" applyFont="1" applyFill="1" applyBorder="1" applyAlignment="1">
      <alignment horizontal="center" vertical="center"/>
    </xf>
    <xf numFmtId="187" fontId="2" fillId="0" borderId="22" xfId="0" applyNumberFormat="1" applyFont="1" applyFill="1" applyBorder="1" applyAlignment="1">
      <alignment horizontal="center" vertical="center" wrapText="1"/>
    </xf>
    <xf numFmtId="43" fontId="8" fillId="8" borderId="7" xfId="53" applyNumberFormat="1" applyFont="1" applyFill="1" applyBorder="1">
      <alignment vertical="center"/>
    </xf>
    <xf numFmtId="0" fontId="8" fillId="5" borderId="7" xfId="53" applyFont="1" applyFill="1" applyBorder="1" applyAlignment="1">
      <alignment vertical="center" wrapText="1"/>
    </xf>
    <xf numFmtId="0" fontId="8" fillId="5" borderId="7" xfId="53" applyFont="1" applyFill="1" applyBorder="1">
      <alignment vertical="center"/>
    </xf>
    <xf numFmtId="181" fontId="2" fillId="11" borderId="5" xfId="0" applyNumberFormat="1" applyFont="1" applyFill="1" applyBorder="1" applyAlignment="1">
      <alignment horizontal="center" vertical="center"/>
    </xf>
    <xf numFmtId="0" fontId="8" fillId="0" borderId="7" xfId="53" applyFont="1" applyBorder="1">
      <alignment vertical="center"/>
    </xf>
    <xf numFmtId="181" fontId="2" fillId="0" borderId="22" xfId="1" applyNumberFormat="1" applyFont="1" applyFill="1" applyBorder="1" applyAlignment="1">
      <alignment vertical="center" wrapText="1"/>
    </xf>
    <xf numFmtId="0" fontId="7" fillId="0" borderId="8" xfId="53" applyFont="1" applyFill="1" applyBorder="1" applyAlignment="1">
      <alignment horizontal="left" vertical="center"/>
    </xf>
    <xf numFmtId="0" fontId="7" fillId="0" borderId="8" xfId="53" applyFont="1" applyBorder="1">
      <alignment vertical="center"/>
    </xf>
    <xf numFmtId="0" fontId="8" fillId="8" borderId="8" xfId="53" applyFont="1" applyFill="1" applyBorder="1">
      <alignment vertical="center"/>
    </xf>
    <xf numFmtId="43" fontId="8" fillId="8" borderId="8" xfId="53" applyNumberFormat="1" applyFont="1" applyFill="1" applyBorder="1">
      <alignment vertical="center"/>
    </xf>
    <xf numFmtId="0" fontId="8" fillId="0" borderId="8" xfId="53" applyFont="1" applyBorder="1">
      <alignment vertical="center"/>
    </xf>
    <xf numFmtId="0" fontId="2" fillId="0" borderId="19" xfId="53" applyFont="1" applyFill="1" applyBorder="1" applyAlignment="1">
      <alignment vertical="center" wrapText="1"/>
    </xf>
    <xf numFmtId="0" fontId="7" fillId="0" borderId="0" xfId="53" applyFont="1" applyBorder="1">
      <alignment vertical="center"/>
    </xf>
    <xf numFmtId="43" fontId="8" fillId="0" borderId="0" xfId="53" applyNumberFormat="1" applyFont="1" applyBorder="1">
      <alignment vertical="center"/>
    </xf>
    <xf numFmtId="0" fontId="8" fillId="0" borderId="0" xfId="53" applyFont="1" applyBorder="1">
      <alignment vertical="center"/>
    </xf>
    <xf numFmtId="0" fontId="2" fillId="0" borderId="0" xfId="53" applyFont="1" applyBorder="1">
      <alignment vertical="center"/>
    </xf>
    <xf numFmtId="43" fontId="8" fillId="0" borderId="0" xfId="53" applyNumberFormat="1" applyFont="1">
      <alignment vertical="center"/>
    </xf>
    <xf numFmtId="0" fontId="7" fillId="0" borderId="0" xfId="53" applyFont="1" applyAlignment="1">
      <alignment horizontal="right" vertical="center"/>
    </xf>
    <xf numFmtId="0" fontId="8" fillId="0" borderId="0" xfId="53" applyFont="1" applyFill="1" applyAlignment="1" applyProtection="1">
      <alignment horizontal="left" vertical="center"/>
    </xf>
    <xf numFmtId="0" fontId="8" fillId="0" borderId="0" xfId="53" applyFont="1" applyFill="1" applyAlignment="1" applyProtection="1">
      <alignment horizontal="center" vertical="center"/>
    </xf>
    <xf numFmtId="0" fontId="8" fillId="0" borderId="0" xfId="53" applyFont="1" applyFill="1" applyProtection="1">
      <alignment vertical="center"/>
    </xf>
    <xf numFmtId="0" fontId="7" fillId="0" borderId="0" xfId="53" applyFont="1" applyFill="1" applyProtection="1">
      <alignment vertical="center"/>
    </xf>
    <xf numFmtId="0" fontId="7" fillId="0" borderId="0" xfId="53" applyFont="1" applyFill="1" applyAlignment="1" applyProtection="1">
      <alignment horizontal="center" vertical="center"/>
    </xf>
    <xf numFmtId="43" fontId="8" fillId="0" borderId="0" xfId="53" applyNumberFormat="1" applyFont="1" applyFill="1" applyProtection="1">
      <alignment vertical="center"/>
    </xf>
    <xf numFmtId="43" fontId="8" fillId="0" borderId="0" xfId="1" applyNumberFormat="1" applyFont="1" applyFill="1" applyProtection="1">
      <alignment vertical="center"/>
    </xf>
    <xf numFmtId="43" fontId="8" fillId="0" borderId="0" xfId="1" applyFont="1" applyFill="1" applyProtection="1">
      <alignment vertical="center"/>
    </xf>
    <xf numFmtId="0" fontId="3" fillId="0" borderId="0" xfId="53" applyFont="1" applyFill="1" applyAlignment="1" applyProtection="1">
      <alignment horizontal="left" vertical="center"/>
    </xf>
    <xf numFmtId="0" fontId="9" fillId="0" borderId="0" xfId="53" applyFont="1" applyFill="1" applyAlignment="1" applyProtection="1">
      <alignment horizontal="left" vertical="center"/>
    </xf>
    <xf numFmtId="0" fontId="9" fillId="0" borderId="0" xfId="53" applyFont="1" applyFill="1" applyAlignment="1" applyProtection="1">
      <alignment horizontal="center" vertical="center"/>
    </xf>
    <xf numFmtId="43" fontId="8" fillId="0" borderId="0" xfId="53" applyNumberFormat="1" applyFont="1" applyFill="1" applyAlignment="1" applyProtection="1">
      <alignment horizontal="left" vertical="center"/>
    </xf>
    <xf numFmtId="43" fontId="8" fillId="0" borderId="0" xfId="1" applyNumberFormat="1" applyFont="1" applyFill="1" applyAlignment="1" applyProtection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5" fillId="0" borderId="23" xfId="53" applyFont="1" applyFill="1" applyBorder="1" applyAlignment="1" applyProtection="1">
      <alignment horizontal="center" vertical="center" wrapText="1"/>
    </xf>
    <xf numFmtId="0" fontId="5" fillId="0" borderId="2" xfId="53" applyFont="1" applyFill="1" applyBorder="1" applyAlignment="1" applyProtection="1">
      <alignment horizontal="center" vertical="center" wrapText="1"/>
    </xf>
    <xf numFmtId="188" fontId="5" fillId="0" borderId="23" xfId="53" applyNumberFormat="1" applyFont="1" applyFill="1" applyBorder="1" applyAlignment="1" applyProtection="1">
      <alignment horizontal="center" vertical="center" wrapText="1"/>
    </xf>
    <xf numFmtId="188" fontId="5" fillId="0" borderId="2" xfId="53" applyNumberFormat="1" applyFont="1" applyFill="1" applyBorder="1" applyAlignment="1" applyProtection="1">
      <alignment horizontal="center" vertical="center" wrapText="1"/>
    </xf>
    <xf numFmtId="0" fontId="2" fillId="0" borderId="24" xfId="53" applyFont="1" applyFill="1" applyBorder="1" applyAlignment="1" applyProtection="1">
      <alignment horizontal="center" vertical="center" wrapText="1"/>
    </xf>
    <xf numFmtId="0" fontId="2" fillId="0" borderId="20" xfId="53" applyFont="1" applyFill="1" applyBorder="1" applyAlignment="1" applyProtection="1">
      <alignment horizontal="center" vertical="center" wrapText="1"/>
    </xf>
    <xf numFmtId="43" fontId="2" fillId="0" borderId="24" xfId="53" applyNumberFormat="1" applyFont="1" applyFill="1" applyBorder="1" applyAlignment="1" applyProtection="1">
      <alignment horizontal="center" vertical="center" wrapText="1"/>
    </xf>
    <xf numFmtId="43" fontId="2" fillId="0" borderId="20" xfId="53" applyNumberFormat="1" applyFont="1" applyFill="1" applyBorder="1" applyAlignment="1" applyProtection="1">
      <alignment horizontal="center" vertical="center" wrapText="1"/>
    </xf>
    <xf numFmtId="43" fontId="2" fillId="0" borderId="13" xfId="53" applyNumberFormat="1" applyFont="1" applyFill="1" applyBorder="1" applyAlignment="1" applyProtection="1">
      <alignment horizontal="center" vertical="center" wrapText="1"/>
    </xf>
    <xf numFmtId="0" fontId="2" fillId="0" borderId="10" xfId="53" applyFont="1" applyFill="1" applyBorder="1" applyAlignment="1" applyProtection="1">
      <alignment horizontal="center" vertical="center" wrapText="1"/>
    </xf>
    <xf numFmtId="0" fontId="6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14" xfId="53" applyFont="1" applyFill="1" applyBorder="1" applyAlignment="1" applyProtection="1">
      <alignment horizontal="center" vertical="center"/>
    </xf>
    <xf numFmtId="189" fontId="2" fillId="0" borderId="5" xfId="53" applyNumberFormat="1" applyFont="1" applyFill="1" applyBorder="1" applyAlignment="1" applyProtection="1">
      <alignment horizontal="left" vertical="center"/>
    </xf>
    <xf numFmtId="43" fontId="2" fillId="0" borderId="14" xfId="53" applyNumberFormat="1" applyFont="1" applyFill="1" applyBorder="1" applyAlignment="1" applyProtection="1">
      <alignment horizontal="center" vertical="center"/>
    </xf>
    <xf numFmtId="43" fontId="2" fillId="0" borderId="5" xfId="53" applyNumberFormat="1" applyFont="1" applyFill="1" applyBorder="1" applyAlignment="1" applyProtection="1">
      <alignment horizontal="left" vertical="center"/>
    </xf>
    <xf numFmtId="43" fontId="2" fillId="0" borderId="15" xfId="53" applyNumberFormat="1" applyFont="1" applyFill="1" applyBorder="1" applyAlignment="1" applyProtection="1">
      <alignment horizontal="center" vertical="center" wrapText="1"/>
    </xf>
    <xf numFmtId="0" fontId="2" fillId="0" borderId="22" xfId="53" applyFont="1" applyFill="1" applyBorder="1" applyAlignment="1" applyProtection="1">
      <alignment horizontal="center" vertical="center" wrapText="1"/>
    </xf>
    <xf numFmtId="0" fontId="2" fillId="0" borderId="27" xfId="53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 applyProtection="1">
      <alignment horizontal="left" vertical="center"/>
    </xf>
    <xf numFmtId="0" fontId="12" fillId="0" borderId="5" xfId="51" applyNumberFormat="1" applyFont="1" applyFill="1" applyBorder="1" applyAlignment="1" applyProtection="1">
      <alignment horizontal="left" vertical="center" wrapText="1"/>
    </xf>
    <xf numFmtId="189" fontId="2" fillId="0" borderId="5" xfId="0" applyNumberFormat="1" applyFont="1" applyFill="1" applyBorder="1" applyAlignment="1" applyProtection="1">
      <alignment horizontal="left" vertical="center"/>
    </xf>
    <xf numFmtId="183" fontId="2" fillId="0" borderId="14" xfId="0" applyNumberFormat="1" applyFont="1" applyFill="1" applyBorder="1" applyAlignment="1" applyProtection="1">
      <alignment horizontal="left" vertical="center"/>
    </xf>
    <xf numFmtId="190" fontId="2" fillId="0" borderId="14" xfId="0" applyNumberFormat="1" applyFont="1" applyFill="1" applyBorder="1" applyAlignment="1" applyProtection="1">
      <alignment horizontal="left" vertical="center"/>
    </xf>
    <xf numFmtId="43" fontId="2" fillId="0" borderId="5" xfId="1" applyNumberFormat="1" applyFont="1" applyFill="1" applyBorder="1" applyAlignment="1" applyProtection="1">
      <alignment horizontal="left" vertical="center"/>
    </xf>
    <xf numFmtId="43" fontId="2" fillId="0" borderId="5" xfId="0" applyNumberFormat="1" applyFont="1" applyFill="1" applyBorder="1" applyAlignment="1" applyProtection="1">
      <alignment horizontal="left" vertical="center"/>
    </xf>
    <xf numFmtId="43" fontId="12" fillId="0" borderId="7" xfId="0" applyNumberFormat="1" applyFont="1" applyFill="1" applyBorder="1" applyProtection="1">
      <alignment vertical="center"/>
    </xf>
    <xf numFmtId="0" fontId="2" fillId="0" borderId="22" xfId="0" applyFont="1" applyFill="1" applyBorder="1" applyAlignment="1" applyProtection="1">
      <alignment horizontal="left" vertical="center" wrapText="1"/>
    </xf>
    <xf numFmtId="0" fontId="2" fillId="0" borderId="22" xfId="0" applyFont="1" applyFill="1" applyBorder="1" applyAlignment="1" applyProtection="1">
      <alignment horizontal="left" vertical="center"/>
    </xf>
    <xf numFmtId="189" fontId="2" fillId="0" borderId="5" xfId="0" applyNumberFormat="1" applyFont="1" applyFill="1" applyBorder="1" applyAlignment="1">
      <alignment horizontal="center" vertical="center"/>
    </xf>
    <xf numFmtId="43" fontId="2" fillId="5" borderId="5" xfId="1" applyNumberFormat="1" applyFont="1" applyFill="1" applyBorder="1" applyAlignment="1" applyProtection="1">
      <alignment horizontal="left" vertical="center"/>
    </xf>
    <xf numFmtId="43" fontId="2" fillId="5" borderId="5" xfId="0" applyNumberFormat="1" applyFont="1" applyFill="1" applyBorder="1" applyAlignment="1" applyProtection="1">
      <alignment horizontal="left" vertical="center"/>
    </xf>
    <xf numFmtId="43" fontId="12" fillId="5" borderId="7" xfId="0" applyNumberFormat="1" applyFont="1" applyFill="1" applyBorder="1" applyProtection="1">
      <alignment vertical="center"/>
    </xf>
    <xf numFmtId="0" fontId="2" fillId="5" borderId="22" xfId="0" applyFont="1" applyFill="1" applyBorder="1" applyAlignment="1" applyProtection="1">
      <alignment horizontal="left" vertical="center" wrapText="1"/>
    </xf>
    <xf numFmtId="43" fontId="12" fillId="5" borderId="7" xfId="1" applyNumberFormat="1" applyFont="1" applyFill="1" applyBorder="1" applyProtection="1">
      <alignment vertical="center"/>
    </xf>
    <xf numFmtId="0" fontId="8" fillId="0" borderId="14" xfId="53" applyFont="1" applyFill="1" applyBorder="1" applyAlignment="1" applyProtection="1">
      <alignment horizontal="left" vertical="center"/>
    </xf>
    <xf numFmtId="0" fontId="2" fillId="0" borderId="5" xfId="53" applyNumberFormat="1" applyFont="1" applyFill="1" applyBorder="1" applyAlignment="1" applyProtection="1">
      <alignment horizontal="left" vertical="center"/>
    </xf>
    <xf numFmtId="0" fontId="2" fillId="0" borderId="5" xfId="53" applyFont="1" applyFill="1" applyBorder="1" applyAlignment="1" applyProtection="1">
      <alignment horizontal="left" vertical="center"/>
    </xf>
    <xf numFmtId="183" fontId="2" fillId="0" borderId="5" xfId="53" applyNumberFormat="1" applyFont="1" applyFill="1" applyBorder="1" applyAlignment="1" applyProtection="1">
      <alignment horizontal="left" vertical="center"/>
    </xf>
    <xf numFmtId="0" fontId="2" fillId="5" borderId="22" xfId="53" applyFont="1" applyFill="1" applyBorder="1" applyAlignment="1" applyProtection="1">
      <alignment horizontal="center" vertical="center" wrapText="1"/>
    </xf>
    <xf numFmtId="0" fontId="2" fillId="0" borderId="22" xfId="53" applyFont="1" applyFill="1" applyBorder="1" applyAlignment="1" applyProtection="1">
      <alignment horizontal="left" vertical="center"/>
    </xf>
    <xf numFmtId="43" fontId="12" fillId="0" borderId="7" xfId="1" applyNumberFormat="1" applyFont="1" applyFill="1" applyBorder="1" applyProtection="1">
      <alignment vertical="center"/>
    </xf>
    <xf numFmtId="43" fontId="8" fillId="0" borderId="7" xfId="1" applyNumberFormat="1" applyFont="1" applyFill="1" applyBorder="1" applyProtection="1">
      <alignment vertical="center"/>
    </xf>
    <xf numFmtId="0" fontId="13" fillId="0" borderId="28" xfId="53" applyFont="1" applyFill="1" applyBorder="1" applyAlignment="1" applyProtection="1">
      <alignment horizontal="center" vertical="center"/>
    </xf>
    <xf numFmtId="0" fontId="13" fillId="0" borderId="28" xfId="53" applyFont="1" applyFill="1" applyBorder="1" applyAlignment="1" applyProtection="1">
      <alignment horizontal="left" vertical="center"/>
    </xf>
    <xf numFmtId="0" fontId="2" fillId="0" borderId="28" xfId="53" applyFont="1" applyFill="1" applyBorder="1" applyAlignment="1" applyProtection="1">
      <alignment horizontal="left" vertical="center"/>
    </xf>
    <xf numFmtId="43" fontId="2" fillId="0" borderId="29" xfId="1" applyFont="1" applyFill="1" applyBorder="1" applyAlignment="1" applyProtection="1">
      <alignment horizontal="center" vertical="center"/>
    </xf>
    <xf numFmtId="0" fontId="2" fillId="0" borderId="29" xfId="53" applyFont="1" applyFill="1" applyBorder="1" applyProtection="1">
      <alignment vertical="center"/>
    </xf>
    <xf numFmtId="43" fontId="2" fillId="0" borderId="29" xfId="1" applyNumberFormat="1" applyFont="1" applyFill="1" applyBorder="1" applyProtection="1">
      <alignment vertical="center"/>
    </xf>
    <xf numFmtId="43" fontId="2" fillId="0" borderId="30" xfId="1" applyNumberFormat="1" applyFont="1" applyFill="1" applyBorder="1" applyAlignment="1" applyProtection="1">
      <alignment vertical="center"/>
    </xf>
    <xf numFmtId="43" fontId="2" fillId="0" borderId="31" xfId="1" applyNumberFormat="1" applyFont="1" applyFill="1" applyBorder="1" applyProtection="1">
      <alignment vertical="center"/>
    </xf>
    <xf numFmtId="43" fontId="2" fillId="0" borderId="31" xfId="1" applyFont="1" applyFill="1" applyBorder="1" applyProtection="1">
      <alignment vertical="center"/>
    </xf>
    <xf numFmtId="0" fontId="5" fillId="0" borderId="32" xfId="53" applyFont="1" applyFill="1" applyBorder="1" applyAlignment="1" applyProtection="1">
      <alignment horizontal="left" vertical="center"/>
    </xf>
    <xf numFmtId="0" fontId="13" fillId="0" borderId="0" xfId="53" applyFont="1" applyFill="1" applyBorder="1" applyAlignment="1" applyProtection="1">
      <alignment horizontal="left" vertical="center"/>
    </xf>
    <xf numFmtId="43" fontId="13" fillId="0" borderId="0" xfId="53" applyNumberFormat="1" applyFont="1" applyFill="1" applyBorder="1" applyAlignment="1" applyProtection="1">
      <alignment horizontal="left" vertical="center"/>
    </xf>
    <xf numFmtId="43" fontId="7" fillId="0" borderId="32" xfId="1" applyNumberFormat="1" applyFont="1" applyFill="1" applyBorder="1" applyProtection="1">
      <alignment vertical="center"/>
    </xf>
    <xf numFmtId="0" fontId="7" fillId="0" borderId="32" xfId="53" applyFont="1" applyFill="1" applyBorder="1" applyProtection="1">
      <alignment vertical="center"/>
    </xf>
    <xf numFmtId="43" fontId="7" fillId="0" borderId="32" xfId="1" applyFont="1" applyFill="1" applyBorder="1" applyProtection="1">
      <alignment vertical="center"/>
    </xf>
    <xf numFmtId="0" fontId="8" fillId="0" borderId="33" xfId="0" applyFont="1" applyFill="1" applyBorder="1" applyAlignment="1" applyProtection="1">
      <alignment horizontal="left" vertical="center"/>
    </xf>
    <xf numFmtId="0" fontId="2" fillId="0" borderId="5" xfId="0" applyFont="1" applyFill="1" applyBorder="1" applyProtection="1">
      <alignment vertical="center"/>
    </xf>
    <xf numFmtId="183" fontId="2" fillId="0" borderId="5" xfId="0" applyNumberFormat="1" applyFont="1" applyFill="1" applyBorder="1" applyProtection="1">
      <alignment vertical="center"/>
    </xf>
    <xf numFmtId="185" fontId="2" fillId="0" borderId="5" xfId="1" applyNumberFormat="1" applyFont="1" applyFill="1" applyBorder="1" applyProtection="1">
      <alignment vertical="center"/>
    </xf>
    <xf numFmtId="43" fontId="8" fillId="5" borderId="7" xfId="0" applyNumberFormat="1" applyFont="1" applyFill="1" applyBorder="1" applyProtection="1">
      <alignment vertical="center"/>
    </xf>
    <xf numFmtId="0" fontId="8" fillId="5" borderId="7" xfId="0" applyFont="1" applyFill="1" applyBorder="1" applyAlignment="1" applyProtection="1">
      <alignment vertical="center" wrapText="1"/>
    </xf>
    <xf numFmtId="0" fontId="8" fillId="0" borderId="7" xfId="0" applyFont="1" applyFill="1" applyBorder="1" applyProtection="1">
      <alignment vertical="center"/>
    </xf>
    <xf numFmtId="0" fontId="8" fillId="0" borderId="7" xfId="0" applyFont="1" applyFill="1" applyBorder="1" applyAlignment="1" applyProtection="1">
      <alignment horizontal="left" vertical="center"/>
    </xf>
    <xf numFmtId="0" fontId="8" fillId="5" borderId="7" xfId="0" applyFont="1" applyFill="1" applyBorder="1" applyProtection="1">
      <alignment vertical="center"/>
    </xf>
    <xf numFmtId="43" fontId="8" fillId="0" borderId="7" xfId="0" applyNumberFormat="1" applyFont="1" applyFill="1" applyBorder="1" applyProtection="1">
      <alignment vertical="center"/>
    </xf>
    <xf numFmtId="183" fontId="2" fillId="0" borderId="15" xfId="53" applyNumberFormat="1" applyFont="1" applyFill="1" applyBorder="1" applyAlignment="1" applyProtection="1">
      <alignment horizontal="left" vertical="center"/>
    </xf>
    <xf numFmtId="189" fontId="2" fillId="0" borderId="15" xfId="53" applyNumberFormat="1" applyFont="1" applyFill="1" applyBorder="1" applyProtection="1">
      <alignment vertical="center"/>
    </xf>
    <xf numFmtId="183" fontId="2" fillId="0" borderId="15" xfId="53" applyNumberFormat="1" applyFont="1" applyFill="1" applyBorder="1" applyProtection="1">
      <alignment vertical="center"/>
    </xf>
    <xf numFmtId="43" fontId="8" fillId="0" borderId="22" xfId="53" applyNumberFormat="1" applyFont="1" applyFill="1" applyBorder="1" applyAlignment="1" applyProtection="1">
      <alignment vertical="center"/>
    </xf>
    <xf numFmtId="0" fontId="8" fillId="0" borderId="22" xfId="53" applyFont="1" applyFill="1" applyBorder="1" applyProtection="1">
      <alignment vertical="center"/>
    </xf>
    <xf numFmtId="0" fontId="2" fillId="0" borderId="14" xfId="53" applyFont="1" applyFill="1" applyBorder="1" applyAlignment="1" applyProtection="1">
      <alignment horizontal="left" vertical="center"/>
    </xf>
    <xf numFmtId="0" fontId="2" fillId="0" borderId="5" xfId="53" applyFont="1" applyFill="1" applyBorder="1" applyProtection="1">
      <alignment vertical="center"/>
    </xf>
    <xf numFmtId="180" fontId="2" fillId="0" borderId="5" xfId="53" applyNumberFormat="1" applyFont="1" applyFill="1" applyBorder="1" applyProtection="1">
      <alignment vertical="center"/>
    </xf>
    <xf numFmtId="183" fontId="2" fillId="0" borderId="5" xfId="53" applyNumberFormat="1" applyFont="1" applyFill="1" applyBorder="1" applyProtection="1">
      <alignment vertical="center"/>
    </xf>
    <xf numFmtId="43" fontId="2" fillId="0" borderId="5" xfId="53" applyNumberFormat="1" applyFont="1" applyFill="1" applyBorder="1" applyProtection="1">
      <alignment vertical="center"/>
    </xf>
    <xf numFmtId="43" fontId="8" fillId="0" borderId="7" xfId="53" applyNumberFormat="1" applyFont="1" applyFill="1" applyBorder="1" applyProtection="1">
      <alignment vertical="center"/>
    </xf>
    <xf numFmtId="0" fontId="8" fillId="0" borderId="7" xfId="53" applyFont="1" applyFill="1" applyBorder="1" applyProtection="1">
      <alignment vertical="center"/>
    </xf>
    <xf numFmtId="0" fontId="7" fillId="0" borderId="28" xfId="53" applyFont="1" applyFill="1" applyBorder="1" applyAlignment="1" applyProtection="1">
      <alignment horizontal="left" vertical="center"/>
    </xf>
    <xf numFmtId="43" fontId="2" fillId="0" borderId="29" xfId="1" applyFont="1" applyFill="1" applyBorder="1" applyAlignment="1" applyProtection="1">
      <alignment vertical="center"/>
    </xf>
    <xf numFmtId="0" fontId="2" fillId="0" borderId="28" xfId="53" applyFont="1" applyFill="1" applyBorder="1" applyProtection="1">
      <alignment vertical="center"/>
    </xf>
    <xf numFmtId="43" fontId="2" fillId="0" borderId="29" xfId="1" applyFont="1" applyFill="1" applyBorder="1" applyProtection="1">
      <alignment vertical="center"/>
    </xf>
    <xf numFmtId="43" fontId="7" fillId="0" borderId="28" xfId="53" applyNumberFormat="1" applyFont="1" applyFill="1" applyBorder="1" applyAlignment="1" applyProtection="1">
      <alignment horizontal="left" vertical="center"/>
    </xf>
    <xf numFmtId="43" fontId="2" fillId="0" borderId="29" xfId="1" applyNumberFormat="1" applyFont="1" applyFill="1" applyBorder="1" applyAlignment="1" applyProtection="1">
      <alignment vertical="center"/>
    </xf>
    <xf numFmtId="43" fontId="2" fillId="0" borderId="28" xfId="1" applyNumberFormat="1" applyFont="1" applyFill="1" applyBorder="1" applyProtection="1">
      <alignment vertical="center"/>
    </xf>
    <xf numFmtId="43" fontId="2" fillId="0" borderId="28" xfId="1" applyFont="1" applyFill="1" applyBorder="1" applyProtection="1">
      <alignment vertical="center"/>
    </xf>
    <xf numFmtId="43" fontId="7" fillId="0" borderId="0" xfId="53" applyNumberFormat="1" applyFont="1" applyFill="1" applyProtection="1">
      <alignment vertical="center"/>
    </xf>
    <xf numFmtId="43" fontId="7" fillId="0" borderId="0" xfId="1" applyNumberFormat="1" applyFont="1" applyFill="1" applyProtection="1">
      <alignment vertical="center"/>
    </xf>
    <xf numFmtId="43" fontId="7" fillId="0" borderId="0" xfId="1" applyFont="1" applyFill="1" applyProtection="1">
      <alignment vertical="center"/>
    </xf>
    <xf numFmtId="43" fontId="7" fillId="0" borderId="0" xfId="1" applyFont="1" applyFill="1" applyAlignment="1" applyProtection="1">
      <alignment horizontal="right" vertical="center"/>
    </xf>
    <xf numFmtId="181" fontId="7" fillId="0" borderId="0" xfId="1" applyNumberFormat="1" applyFont="1" applyFill="1" applyProtection="1">
      <alignment vertical="center"/>
    </xf>
    <xf numFmtId="0" fontId="7" fillId="0" borderId="0" xfId="53" applyFont="1" applyFill="1" applyAlignment="1" applyProtection="1">
      <alignment vertical="center"/>
    </xf>
    <xf numFmtId="0" fontId="8" fillId="0" borderId="0" xfId="0" applyFont="1">
      <alignment vertical="center"/>
    </xf>
    <xf numFmtId="0" fontId="14" fillId="0" borderId="0" xfId="0" applyFont="1">
      <alignment vertical="center"/>
    </xf>
    <xf numFmtId="0" fontId="15" fillId="12" borderId="34" xfId="0" applyFont="1" applyFill="1" applyBorder="1" applyAlignment="1">
      <alignment horizontal="center" vertical="center" wrapText="1"/>
    </xf>
    <xf numFmtId="0" fontId="16" fillId="12" borderId="34" xfId="0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9" fontId="17" fillId="0" borderId="34" xfId="0" applyNumberFormat="1" applyFont="1" applyBorder="1" applyAlignment="1">
      <alignment horizontal="center" vertical="center" wrapText="1"/>
    </xf>
    <xf numFmtId="9" fontId="17" fillId="0" borderId="34" xfId="0" applyNumberFormat="1" applyFont="1" applyFill="1" applyBorder="1" applyAlignment="1">
      <alignment horizontal="center" vertical="center" wrapText="1"/>
    </xf>
    <xf numFmtId="0" fontId="17" fillId="6" borderId="34" xfId="0" applyFont="1" applyFill="1" applyBorder="1" applyAlignment="1">
      <alignment horizontal="center" vertical="center" wrapText="1"/>
    </xf>
    <xf numFmtId="0" fontId="16" fillId="12" borderId="35" xfId="0" applyFont="1" applyFill="1" applyBorder="1" applyAlignment="1">
      <alignment horizontal="center" vertical="center" wrapText="1"/>
    </xf>
    <xf numFmtId="0" fontId="15" fillId="12" borderId="35" xfId="0" applyFont="1" applyFill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9" fontId="17" fillId="0" borderId="35" xfId="0" applyNumberFormat="1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18" fillId="0" borderId="0" xfId="0" applyFont="1">
      <alignment vertical="center"/>
    </xf>
    <xf numFmtId="0" fontId="19" fillId="13" borderId="36" xfId="0" applyFont="1" applyFill="1" applyBorder="1" applyAlignment="1">
      <alignment horizontal="center" vertical="center"/>
    </xf>
    <xf numFmtId="0" fontId="19" fillId="13" borderId="36" xfId="0" applyFont="1" applyFill="1" applyBorder="1" applyAlignment="1">
      <alignment horizontal="center" vertical="center" wrapText="1"/>
    </xf>
    <xf numFmtId="0" fontId="19" fillId="13" borderId="27" xfId="0" applyFont="1" applyFill="1" applyBorder="1" applyAlignment="1">
      <alignment horizontal="left" vertical="center"/>
    </xf>
    <xf numFmtId="49" fontId="19" fillId="13" borderId="27" xfId="0" applyNumberFormat="1" applyFont="1" applyFill="1" applyBorder="1" applyAlignment="1">
      <alignment horizontal="center" vertical="center"/>
    </xf>
    <xf numFmtId="182" fontId="19" fillId="13" borderId="27" xfId="0" applyNumberFormat="1" applyFont="1" applyFill="1" applyBorder="1" applyAlignment="1">
      <alignment horizontal="center" vertical="center"/>
    </xf>
    <xf numFmtId="191" fontId="19" fillId="13" borderId="27" xfId="0" applyNumberFormat="1" applyFont="1" applyFill="1" applyBorder="1" applyAlignment="1">
      <alignment horizontal="center" vertical="center"/>
    </xf>
    <xf numFmtId="191" fontId="20" fillId="13" borderId="37" xfId="3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9" fontId="0" fillId="0" borderId="0" xfId="0" applyNumberFormat="1">
      <alignment vertical="center"/>
    </xf>
    <xf numFmtId="0" fontId="2" fillId="0" borderId="27" xfId="0" applyFont="1" applyBorder="1">
      <alignment vertical="center"/>
    </xf>
    <xf numFmtId="49" fontId="21" fillId="0" borderId="27" xfId="0" applyNumberFormat="1" applyFont="1" applyBorder="1" applyAlignment="1">
      <alignment horizontal="left" vertical="center"/>
    </xf>
    <xf numFmtId="191" fontId="22" fillId="0" borderId="27" xfId="3" applyNumberFormat="1" applyFont="1" applyFill="1" applyBorder="1" applyAlignment="1">
      <alignment horizontal="center" vertical="center"/>
    </xf>
    <xf numFmtId="43" fontId="22" fillId="0" borderId="27" xfId="3" applyNumberFormat="1" applyFont="1" applyFill="1" applyBorder="1" applyAlignment="1">
      <alignment horizontal="center" vertical="center"/>
    </xf>
    <xf numFmtId="43" fontId="22" fillId="0" borderId="27" xfId="3" applyNumberFormat="1" applyFont="1" applyFill="1" applyBorder="1" applyAlignment="1">
      <alignment vertical="center"/>
    </xf>
    <xf numFmtId="0" fontId="2" fillId="0" borderId="37" xfId="0" applyFont="1" applyBorder="1">
      <alignment vertical="center"/>
    </xf>
    <xf numFmtId="49" fontId="21" fillId="0" borderId="37" xfId="0" applyNumberFormat="1" applyFont="1" applyBorder="1" applyAlignment="1">
      <alignment horizontal="left" vertical="center"/>
    </xf>
    <xf numFmtId="191" fontId="22" fillId="0" borderId="37" xfId="3" applyNumberFormat="1" applyFont="1" applyFill="1" applyBorder="1" applyAlignment="1">
      <alignment horizontal="center" vertical="center"/>
    </xf>
    <xf numFmtId="43" fontId="22" fillId="0" borderId="37" xfId="3" applyNumberFormat="1" applyFont="1" applyFill="1" applyBorder="1" applyAlignment="1">
      <alignment horizontal="center" vertical="center"/>
    </xf>
    <xf numFmtId="43" fontId="22" fillId="0" borderId="37" xfId="3" applyNumberFormat="1" applyFont="1" applyFill="1" applyBorder="1" applyAlignment="1">
      <alignment vertical="center"/>
    </xf>
    <xf numFmtId="0" fontId="19" fillId="13" borderId="27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191" fontId="23" fillId="0" borderId="27" xfId="3" applyNumberFormat="1" applyFont="1" applyFill="1" applyBorder="1" applyAlignment="1">
      <alignment horizontal="center" vertical="center" wrapText="1"/>
    </xf>
    <xf numFmtId="191" fontId="23" fillId="0" borderId="37" xfId="3" applyNumberFormat="1" applyFont="1" applyFill="1" applyBorder="1" applyAlignment="1">
      <alignment horizontal="center" vertical="center" wrapText="1"/>
    </xf>
    <xf numFmtId="49" fontId="22" fillId="0" borderId="37" xfId="0" applyNumberFormat="1" applyFont="1" applyBorder="1" applyAlignment="1">
      <alignment horizontal="left" vertical="center"/>
    </xf>
    <xf numFmtId="191" fontId="22" fillId="0" borderId="37" xfId="3" applyNumberFormat="1" applyFont="1" applyFill="1" applyBorder="1" applyAlignment="1">
      <alignment horizontal="center" vertical="center" wrapText="1"/>
    </xf>
    <xf numFmtId="0" fontId="24" fillId="0" borderId="0" xfId="0" applyFont="1" applyBorder="1">
      <alignment vertical="center"/>
    </xf>
    <xf numFmtId="0" fontId="2" fillId="0" borderId="1" xfId="0" applyFont="1" applyBorder="1">
      <alignment vertical="center"/>
    </xf>
    <xf numFmtId="49" fontId="21" fillId="0" borderId="1" xfId="0" applyNumberFormat="1" applyFont="1" applyBorder="1" applyAlignment="1">
      <alignment horizontal="left" vertical="center"/>
    </xf>
    <xf numFmtId="191" fontId="22" fillId="0" borderId="1" xfId="3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5" fillId="0" borderId="26" xfId="69" applyFont="1" applyFill="1" applyBorder="1" applyAlignment="1">
      <alignment horizontal="center" vertical="center" readingOrder="1"/>
    </xf>
    <xf numFmtId="0" fontId="25" fillId="14" borderId="26" xfId="69" applyFont="1" applyFill="1" applyBorder="1" applyAlignment="1">
      <alignment horizontal="center" vertical="center" wrapText="1" readingOrder="1"/>
    </xf>
    <xf numFmtId="0" fontId="25" fillId="0" borderId="26" xfId="69" applyFont="1" applyFill="1" applyBorder="1" applyAlignment="1">
      <alignment horizontal="center" vertical="center" wrapText="1" readingOrder="1"/>
    </xf>
    <xf numFmtId="0" fontId="25" fillId="5" borderId="26" xfId="69" applyFont="1" applyFill="1" applyBorder="1" applyAlignment="1">
      <alignment horizontal="center" vertical="center" wrapText="1" readingOrder="1"/>
    </xf>
    <xf numFmtId="0" fontId="25" fillId="14" borderId="26" xfId="69" applyFont="1" applyFill="1" applyBorder="1" applyAlignment="1">
      <alignment horizontal="center" vertical="center" readingOrder="1"/>
    </xf>
    <xf numFmtId="0" fontId="25" fillId="5" borderId="26" xfId="69" applyFont="1" applyFill="1" applyBorder="1" applyAlignment="1">
      <alignment horizontal="center" vertical="center" readingOrder="1"/>
    </xf>
    <xf numFmtId="0" fontId="25" fillId="0" borderId="38" xfId="69" applyNumberFormat="1" applyFont="1" applyFill="1" applyBorder="1" applyAlignment="1">
      <alignment horizontal="center" vertical="center" readingOrder="1"/>
    </xf>
    <xf numFmtId="0" fontId="25" fillId="0" borderId="38" xfId="1" applyNumberFormat="1" applyFont="1" applyFill="1" applyBorder="1" applyAlignment="1">
      <alignment horizontal="center" vertical="center" readingOrder="1"/>
    </xf>
    <xf numFmtId="43" fontId="25" fillId="0" borderId="38" xfId="1" applyFont="1" applyFill="1" applyBorder="1" applyAlignment="1">
      <alignment horizontal="center" vertical="center" readingOrder="1"/>
    </xf>
    <xf numFmtId="2" fontId="8" fillId="14" borderId="38" xfId="0" applyNumberFormat="1" applyFont="1" applyFill="1" applyBorder="1" applyAlignment="1"/>
    <xf numFmtId="2" fontId="8" fillId="0" borderId="38" xfId="0" applyNumberFormat="1" applyFont="1" applyFill="1" applyBorder="1" applyAlignment="1"/>
    <xf numFmtId="2" fontId="8" fillId="14" borderId="38" xfId="0" applyNumberFormat="1" applyFont="1" applyFill="1" applyBorder="1" applyAlignment="1">
      <alignment horizontal="right"/>
    </xf>
    <xf numFmtId="2" fontId="8" fillId="14" borderId="39" xfId="0" applyNumberFormat="1" applyFont="1" applyFill="1" applyBorder="1" applyAlignment="1"/>
    <xf numFmtId="0" fontId="25" fillId="0" borderId="39" xfId="69" applyNumberFormat="1" applyFont="1" applyFill="1" applyBorder="1" applyAlignment="1">
      <alignment horizontal="center" vertical="center" readingOrder="1"/>
    </xf>
    <xf numFmtId="0" fontId="25" fillId="0" borderId="39" xfId="1" applyNumberFormat="1" applyFont="1" applyFill="1" applyBorder="1" applyAlignment="1">
      <alignment horizontal="center" vertical="center" readingOrder="1"/>
    </xf>
    <xf numFmtId="43" fontId="25" fillId="0" borderId="39" xfId="1" applyFont="1" applyFill="1" applyBorder="1" applyAlignment="1">
      <alignment horizontal="center" vertical="center" readingOrder="1"/>
    </xf>
    <xf numFmtId="2" fontId="8" fillId="0" borderId="39" xfId="0" applyNumberFormat="1" applyFont="1" applyFill="1" applyBorder="1" applyAlignment="1"/>
    <xf numFmtId="43" fontId="8" fillId="14" borderId="39" xfId="0" applyNumberFormat="1" applyFont="1" applyFill="1" applyBorder="1" applyAlignment="1">
      <alignment horizontal="right"/>
    </xf>
    <xf numFmtId="43" fontId="8" fillId="0" borderId="39" xfId="0" applyNumberFormat="1" applyFont="1" applyFill="1" applyBorder="1" applyAlignment="1"/>
    <xf numFmtId="43" fontId="25" fillId="0" borderId="39" xfId="1" applyNumberFormat="1" applyFont="1" applyFill="1" applyBorder="1" applyAlignment="1">
      <alignment horizontal="center" vertical="center" readingOrder="1"/>
    </xf>
    <xf numFmtId="43" fontId="8" fillId="14" borderId="39" xfId="0" applyNumberFormat="1" applyFont="1" applyFill="1" applyBorder="1" applyAlignment="1"/>
    <xf numFmtId="49" fontId="25" fillId="0" borderId="39" xfId="69" applyNumberFormat="1" applyFont="1" applyFill="1" applyBorder="1" applyAlignment="1">
      <alignment horizontal="center" vertical="center" readingOrder="1"/>
    </xf>
    <xf numFmtId="43" fontId="25" fillId="0" borderId="39" xfId="69" applyNumberFormat="1" applyFont="1" applyFill="1" applyBorder="1" applyAlignment="1">
      <alignment horizontal="center" vertical="center" readingOrder="1"/>
    </xf>
    <xf numFmtId="43" fontId="25" fillId="0" borderId="26" xfId="1" applyFont="1" applyFill="1" applyBorder="1" applyAlignment="1">
      <alignment horizontal="center" vertical="center" readingOrder="1"/>
    </xf>
    <xf numFmtId="43" fontId="25" fillId="14" borderId="26" xfId="1" applyFont="1" applyFill="1" applyBorder="1" applyAlignment="1">
      <alignment horizontal="center" vertical="center" readingOrder="1"/>
    </xf>
    <xf numFmtId="181" fontId="25" fillId="0" borderId="26" xfId="1" applyNumberFormat="1" applyFont="1" applyFill="1" applyBorder="1" applyAlignment="1">
      <alignment horizontal="center" vertical="center" readingOrder="1"/>
    </xf>
    <xf numFmtId="181" fontId="0" fillId="0" borderId="0" xfId="0" applyNumberFormat="1">
      <alignment vertical="center"/>
    </xf>
    <xf numFmtId="192" fontId="0" fillId="0" borderId="0" xfId="0" applyNumberFormat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right" vertical="center"/>
    </xf>
    <xf numFmtId="185" fontId="0" fillId="0" borderId="0" xfId="1" applyNumberFormat="1" applyFont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Border="1">
      <alignment vertical="center"/>
    </xf>
    <xf numFmtId="43" fontId="1" fillId="0" borderId="0" xfId="0" applyNumberFormat="1" applyFont="1" applyFill="1" applyBorder="1">
      <alignment vertical="center"/>
    </xf>
    <xf numFmtId="9" fontId="1" fillId="0" borderId="0" xfId="3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43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right" vertical="center" wrapText="1"/>
    </xf>
    <xf numFmtId="181" fontId="26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right" vertical="center"/>
    </xf>
    <xf numFmtId="181" fontId="26" fillId="0" borderId="0" xfId="1" applyNumberFormat="1" applyFont="1" applyFill="1" applyBorder="1">
      <alignment vertical="center"/>
    </xf>
    <xf numFmtId="181" fontId="2" fillId="0" borderId="27" xfId="1" applyNumberFormat="1" applyFont="1" applyFill="1" applyBorder="1">
      <alignment vertical="center"/>
    </xf>
    <xf numFmtId="0" fontId="5" fillId="0" borderId="40" xfId="0" applyFont="1" applyFill="1" applyBorder="1" applyAlignment="1">
      <alignment horizontal="left" vertical="center"/>
    </xf>
    <xf numFmtId="43" fontId="26" fillId="0" borderId="0" xfId="1" applyFont="1" applyFill="1" applyBorder="1">
      <alignment vertical="center"/>
    </xf>
    <xf numFmtId="193" fontId="26" fillId="0" borderId="0" xfId="1" applyNumberFormat="1" applyFont="1" applyFill="1" applyBorder="1">
      <alignment vertical="center"/>
    </xf>
    <xf numFmtId="43" fontId="26" fillId="0" borderId="0" xfId="1" applyNumberFormat="1" applyFont="1" applyFill="1" applyBorder="1">
      <alignment vertical="center"/>
    </xf>
    <xf numFmtId="0" fontId="5" fillId="0" borderId="0" xfId="0" applyFont="1" applyFill="1" applyAlignment="1">
      <alignment horizontal="center" vertical="center" wrapText="1"/>
    </xf>
    <xf numFmtId="43" fontId="5" fillId="0" borderId="0" xfId="1" applyFont="1" applyFill="1" applyAlignment="1">
      <alignment horizontal="center" vertical="center"/>
    </xf>
    <xf numFmtId="0" fontId="18" fillId="0" borderId="4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right" vertical="center"/>
    </xf>
    <xf numFmtId="43" fontId="27" fillId="0" borderId="0" xfId="1" applyFont="1" applyFill="1" applyBorder="1">
      <alignment vertical="center"/>
    </xf>
    <xf numFmtId="43" fontId="24" fillId="0" borderId="0" xfId="1" applyFont="1" applyFill="1" applyAlignment="1">
      <alignment horizontal="center" vertical="center"/>
    </xf>
    <xf numFmtId="181" fontId="24" fillId="0" borderId="0" xfId="0" applyNumberFormat="1" applyFont="1" applyFill="1">
      <alignment vertical="center"/>
    </xf>
    <xf numFmtId="181" fontId="26" fillId="0" borderId="0" xfId="1" applyNumberFormat="1" applyFont="1" applyFill="1">
      <alignment vertical="center"/>
    </xf>
    <xf numFmtId="9" fontId="26" fillId="0" borderId="0" xfId="3" applyNumberFormat="1" applyFont="1" applyFill="1" applyBorder="1">
      <alignment vertical="center"/>
    </xf>
    <xf numFmtId="10" fontId="26" fillId="0" borderId="0" xfId="3" applyNumberFormat="1" applyFont="1" applyFill="1" applyBorder="1">
      <alignment vertical="center"/>
    </xf>
    <xf numFmtId="194" fontId="2" fillId="0" borderId="0" xfId="0" applyNumberFormat="1" applyFont="1" applyFill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181" fontId="26" fillId="0" borderId="1" xfId="1" applyNumberFormat="1" applyFont="1" applyFill="1" applyBorder="1">
      <alignment vertical="center"/>
    </xf>
    <xf numFmtId="43" fontId="26" fillId="0" borderId="1" xfId="1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5" fillId="16" borderId="23" xfId="0" applyFont="1" applyFill="1" applyBorder="1" applyAlignment="1">
      <alignment horizontal="left" vertical="center"/>
    </xf>
    <xf numFmtId="0" fontId="2" fillId="16" borderId="23" xfId="0" applyFont="1" applyFill="1" applyBorder="1" applyAlignment="1">
      <alignment horizontal="right" vertical="center"/>
    </xf>
    <xf numFmtId="43" fontId="2" fillId="16" borderId="23" xfId="1" applyFont="1" applyFill="1" applyBorder="1">
      <alignment vertical="center"/>
    </xf>
    <xf numFmtId="9" fontId="2" fillId="16" borderId="23" xfId="3" applyFont="1" applyFill="1" applyBorder="1">
      <alignment vertical="center"/>
    </xf>
    <xf numFmtId="0" fontId="2" fillId="0" borderId="37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right" vertical="center"/>
    </xf>
    <xf numFmtId="43" fontId="2" fillId="0" borderId="27" xfId="1" applyFont="1" applyFill="1" applyBorder="1">
      <alignment vertical="center"/>
    </xf>
    <xf numFmtId="43" fontId="2" fillId="0" borderId="27" xfId="1" applyNumberFormat="1" applyFont="1" applyFill="1" applyBorder="1">
      <alignment vertical="center"/>
    </xf>
    <xf numFmtId="9" fontId="2" fillId="0" borderId="27" xfId="1" applyNumberFormat="1" applyFont="1" applyFill="1" applyBorder="1">
      <alignment vertical="center"/>
    </xf>
    <xf numFmtId="0" fontId="6" fillId="17" borderId="37" xfId="0" applyFont="1" applyFill="1" applyBorder="1" applyAlignment="1">
      <alignment horizontal="left" vertical="center"/>
    </xf>
    <xf numFmtId="0" fontId="6" fillId="17" borderId="27" xfId="0" applyFont="1" applyFill="1" applyBorder="1" applyAlignment="1">
      <alignment horizontal="left" vertical="center"/>
    </xf>
    <xf numFmtId="0" fontId="6" fillId="17" borderId="27" xfId="0" applyFont="1" applyFill="1" applyBorder="1" applyAlignment="1">
      <alignment horizontal="right" vertical="center"/>
    </xf>
    <xf numFmtId="43" fontId="2" fillId="17" borderId="37" xfId="1" applyFont="1" applyFill="1" applyBorder="1">
      <alignment vertical="center"/>
    </xf>
    <xf numFmtId="43" fontId="2" fillId="17" borderId="37" xfId="1" applyNumberFormat="1" applyFont="1" applyFill="1" applyBorder="1">
      <alignment vertical="center"/>
    </xf>
    <xf numFmtId="9" fontId="2" fillId="17" borderId="37" xfId="1" applyNumberFormat="1" applyFont="1" applyFill="1" applyBorder="1">
      <alignment vertical="center"/>
    </xf>
    <xf numFmtId="0" fontId="6" fillId="0" borderId="37" xfId="0" applyFont="1" applyFill="1" applyBorder="1" applyAlignment="1">
      <alignment horizontal="left" vertical="center"/>
    </xf>
    <xf numFmtId="49" fontId="6" fillId="0" borderId="37" xfId="0" applyNumberFormat="1" applyFont="1" applyFill="1" applyBorder="1" applyAlignment="1">
      <alignment horizontal="left" vertical="center"/>
    </xf>
    <xf numFmtId="0" fontId="6" fillId="0" borderId="27" xfId="0" applyFont="1" applyFill="1" applyBorder="1" applyAlignment="1">
      <alignment horizontal="left" vertical="center"/>
    </xf>
    <xf numFmtId="0" fontId="6" fillId="0" borderId="27" xfId="0" applyFont="1" applyFill="1" applyBorder="1" applyAlignment="1">
      <alignment horizontal="right" vertical="center"/>
    </xf>
    <xf numFmtId="43" fontId="2" fillId="0" borderId="37" xfId="1" applyNumberFormat="1" applyFont="1" applyFill="1" applyBorder="1">
      <alignment vertical="center"/>
    </xf>
    <xf numFmtId="43" fontId="2" fillId="0" borderId="37" xfId="1" applyFont="1" applyFill="1" applyBorder="1">
      <alignment vertical="center"/>
    </xf>
    <xf numFmtId="9" fontId="2" fillId="0" borderId="37" xfId="1" applyNumberFormat="1" applyFont="1" applyFill="1" applyBorder="1">
      <alignment vertical="center"/>
    </xf>
    <xf numFmtId="0" fontId="6" fillId="17" borderId="37" xfId="0" applyFont="1" applyFill="1" applyBorder="1" applyAlignment="1">
      <alignment horizontal="right" vertical="center"/>
    </xf>
    <xf numFmtId="0" fontId="6" fillId="0" borderId="37" xfId="0" applyFont="1" applyFill="1" applyBorder="1" applyAlignment="1">
      <alignment vertical="center"/>
    </xf>
    <xf numFmtId="43" fontId="6" fillId="0" borderId="27" xfId="0" applyNumberFormat="1" applyFont="1" applyFill="1" applyBorder="1" applyAlignment="1">
      <alignment horizontal="right" vertical="center"/>
    </xf>
    <xf numFmtId="49" fontId="6" fillId="0" borderId="37" xfId="0" applyNumberFormat="1" applyFont="1" applyFill="1" applyBorder="1" applyAlignment="1">
      <alignment vertical="center"/>
    </xf>
    <xf numFmtId="0" fontId="6" fillId="0" borderId="37" xfId="0" applyFont="1" applyFill="1" applyBorder="1" applyAlignment="1">
      <alignment horizontal="right" vertical="center"/>
    </xf>
    <xf numFmtId="0" fontId="2" fillId="0" borderId="37" xfId="0" applyFont="1" applyFill="1" applyBorder="1" applyAlignment="1">
      <alignment horizontal="right" vertical="center"/>
    </xf>
    <xf numFmtId="0" fontId="2" fillId="0" borderId="4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right" vertical="center"/>
    </xf>
    <xf numFmtId="43" fontId="2" fillId="0" borderId="8" xfId="1" applyNumberFormat="1" applyFont="1" applyFill="1" applyBorder="1">
      <alignment vertical="center"/>
    </xf>
    <xf numFmtId="9" fontId="2" fillId="0" borderId="8" xfId="1" applyNumberFormat="1" applyFont="1" applyFill="1" applyBorder="1">
      <alignment vertical="center"/>
    </xf>
    <xf numFmtId="0" fontId="18" fillId="0" borderId="0" xfId="0" applyFont="1" applyFill="1">
      <alignment vertical="center"/>
    </xf>
    <xf numFmtId="0" fontId="24" fillId="0" borderId="0" xfId="0" applyFont="1" applyFill="1" applyAlignment="1">
      <alignment horizontal="left" vertical="center" readingOrder="1"/>
    </xf>
    <xf numFmtId="0" fontId="28" fillId="0" borderId="0" xfId="0" applyFont="1" applyFill="1" applyAlignment="1">
      <alignment horizontal="left" vertical="center" readingOrder="1"/>
    </xf>
    <xf numFmtId="43" fontId="2" fillId="0" borderId="0" xfId="0" applyNumberFormat="1" applyFont="1" applyFill="1">
      <alignment vertical="center"/>
    </xf>
    <xf numFmtId="0" fontId="24" fillId="0" borderId="0" xfId="0" applyFont="1" applyFill="1">
      <alignment vertical="center"/>
    </xf>
    <xf numFmtId="43" fontId="0" fillId="0" borderId="0" xfId="0" applyNumberFormat="1">
      <alignment vertical="center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Normal_Bumper BOM C1176 6669 Rev 1 2" xfId="50"/>
    <cellStyle name="Normal_DPAW 3 1-1 1 F3(03Dec)" xfId="51"/>
    <cellStyle name="常规 12" xfId="52"/>
    <cellStyle name="常规 12 4" xfId="53"/>
    <cellStyle name="常规 12 4 2" xfId="54"/>
    <cellStyle name="常规 12 4 2 2" xfId="55"/>
    <cellStyle name="常规 12 4 3" xfId="56"/>
    <cellStyle name="常规 2" xfId="57"/>
    <cellStyle name="常规 2 10" xfId="58"/>
    <cellStyle name="常规 2 2" xfId="59"/>
    <cellStyle name="常规 2 2 2" xfId="60"/>
    <cellStyle name="常规 2 5" xfId="61"/>
    <cellStyle name="常规 23" xfId="62"/>
    <cellStyle name="常规 3" xfId="63"/>
    <cellStyle name="常规 3 30" xfId="64"/>
    <cellStyle name="常规 4" xfId="65"/>
    <cellStyle name="常规 4 2" xfId="66"/>
    <cellStyle name="常规 4 29" xfId="67"/>
    <cellStyle name="常规 4 30" xfId="68"/>
    <cellStyle name="常规 5" xfId="69"/>
    <cellStyle name="常规 5 17" xfId="70"/>
    <cellStyle name="常规 6" xfId="71"/>
    <cellStyle name="常规 8 3" xfId="72"/>
    <cellStyle name="千位分隔 2" xfId="73"/>
    <cellStyle name="千位分隔 3" xfId="74"/>
    <cellStyle name="常规 12 2" xfId="75"/>
    <cellStyle name="常规 12 4 5" xfId="76"/>
    <cellStyle name="常规 12 3" xfId="77"/>
    <cellStyle name="常规 4 3" xfId="78"/>
    <cellStyle name="常规 12 4 3 2" xfId="79"/>
    <cellStyle name="常规 2 2 47" xfId="80"/>
    <cellStyle name="常规 12 2 2" xfId="81"/>
    <cellStyle name="常规 24" xfId="82"/>
    <cellStyle name="常规 2 4" xfId="83"/>
    <cellStyle name="常规 2 2 3" xfId="8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eetMetadata" Target="metadata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9.xml"/><Relationship Id="rId17" Type="http://schemas.openxmlformats.org/officeDocument/2006/relationships/externalLink" Target="externalLinks/externalLink8.xml"/><Relationship Id="rId16" Type="http://schemas.openxmlformats.org/officeDocument/2006/relationships/externalLink" Target="externalLinks/externalLink7.xml"/><Relationship Id="rId15" Type="http://schemas.openxmlformats.org/officeDocument/2006/relationships/externalLink" Target="externalLinks/externalLink6.xml"/><Relationship Id="rId14" Type="http://schemas.openxmlformats.org/officeDocument/2006/relationships/externalLink" Target="externalLinks/externalLink5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\High%20Feaure%20V6%20Costbo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O%20Hercules&#39640;&#21387;&#32447;&#26463;&#25237;&#36164;&#25104;&#26412;&#26680;&#3163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V520&#39033;&#30446;&#39640;&#21387;&#32447;&#26463;&#25237;&#36164;&#25104;&#26412;&#26680;&#31639;&#34920;-&#39033;&#30446;&#25104;&#26412;2023.10.24-4&#39537;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&#38646;&#36305;&#27773;&#36710;C&#24179;&#21488;24&#24180;&#36710;&#22411;&#39033;&#30446;\&#38646;&#36305;&#27773;&#36710;C11RE12&#36710;&#22411;&#39640;&#21387;&#32447;&#26463;&#21487;&#34892;&#24615;&#20998;&#26512;%20-&#36130;&#21153;&#65288;&#29983;&#21629;&#21608;&#26399;%202&#24180;&#65289;%20&#38108;&#22522;&#65306;61.06%20&#38109;&#22522;&#65306;16.8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29702;&#24819;X14&#39033;&#30446;&#39640;&#21387;&#32447;&#26463;&#25237;&#36164;&#25104;&#26412;&#26680;&#31639;&#34920;%20-&#33258;&#21160;&#21270;&#29256;&#26412;-%2020250220-V003%20-%2012&#20026;&#33258;&#21160;&#21270;&#32447;&#20307;%20-&#28938;&#25509;&#26426;&#24037;&#26102;&#19979;&#3847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27169;&#26495;\&#21513;&#21033;&#32764;&#30495;P789%20&#39640;&#21387;&#39033;&#30446;%20&#65288;&#21487;&#34892;&#24615;&#20998;&#26512;&#65289;-&#36130;&#21153;&#65288;&#29983;&#21629;&#21608;&#26399;6&#24180;&#6528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27169;&#26495;\&#22855;&#29790;E0V&#20302;&#21387;&#39033;&#30446;%20-&#21487;&#34892;&#24615;&#20998;&#26512;&#65288;&#29983;&#21629;&#21608;&#26399;5&#24180;&#65289;4.16&#2925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qinzhuanli\Desktop\&#36817;&#26399;&#39033;&#30446;\&#26497;&#27690;&#25253;&#20215;\&#25972;&#36710;&#20302;&#21387;-&#26497;&#27690;DC1E-A3%2066&#21547;&#31246;\&#26497;&#27690;DC1E-A3&#25972;&#36710;&#20302;&#21387;&#39033;&#30446;%20-&#21487;&#34892;&#24615;&#20998;&#26512;&#65288;&#29983;&#21629;&#21608;&#26399;3&#24180;&#65289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&#25237;&#36164;&#25104;&#26412;&#26680;&#31639;&#34920;%20-20251107-V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진행 DATA (2)"/>
      <sheetName val="Sheet1"/>
      <sheetName val="DATA"/>
      <sheetName val="High Feaure V6 Costbook"/>
      <sheetName val="생산전망"/>
      <sheetName val="?? DATA (2)"/>
      <sheetName val="D33-96420024"/>
      <sheetName val="보고1"/>
      <sheetName val="WEIGHT"/>
      <sheetName val="PV6 3_5L LX5 GMX170"/>
      <sheetName val="#REF"/>
      <sheetName val="__ DATA (2)"/>
      <sheetName val="产品配置表"/>
      <sheetName val="Summary-Korea"/>
      <sheetName val="ATS Summary"/>
      <sheetName val="Detail"/>
      <sheetName val="Sheet2"/>
      <sheetName val="series pricing"/>
      <sheetName val="月度计划提报说明"/>
      <sheetName val="Agreed Features"/>
      <sheetName val="Look-up"/>
      <sheetName val="SW maturity Status Definitions"/>
      <sheetName val="数据汇总"/>
      <sheetName val="汇总"/>
      <sheetName val="部门列表"/>
      <sheetName val="勿删"/>
      <sheetName val="规则 rule"/>
      <sheetName val="整车检查"/>
      <sheetName val="勿删-数据验证"/>
      <sheetName val="数据"/>
      <sheetName val="月度工作计划管理细则"/>
      <sheetName val="1086090401"/>
      <sheetName val="resume"/>
      <sheetName val="L EQ"/>
      <sheetName val="LUQ03 "/>
      <sheetName val="VOL_EXC"/>
      <sheetName val="64164"/>
      <sheetName val="대외공문"/>
      <sheetName val="自有"/>
      <sheetName val="COMMERCIALS-WHO"/>
      <sheetName val="Income Statement"/>
      <sheetName val="712"/>
      <sheetName val="#142-1-갑"/>
      <sheetName val="国内出荷"/>
      <sheetName val="MOTO"/>
      <sheetName val="Sheet4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진행_DATA_(2)"/>
      <sheetName val="High_Feaure_V6_Costbook"/>
      <sheetName val="??_DATA_(2)"/>
      <sheetName val="PV6_3_5L_LX5_GMX1701"/>
      <sheetName val="___DATA_(2)"/>
      <sheetName val="ATS_Summary"/>
      <sheetName val="Agreed_Features"/>
      <sheetName val="series_pricing"/>
      <sheetName val="SW_maturity_Status_Definitions"/>
      <sheetName val="L_EQ"/>
      <sheetName val="LUQ03_"/>
      <sheetName val="Income_Statement"/>
      <sheetName val="规则_rule"/>
      <sheetName val="PV6_3_5L_LX5_GMX1702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진행_DATA_(2)1"/>
      <sheetName val="High_Feaure_V6_Costbook1"/>
      <sheetName val="??_DATA_(2)1"/>
      <sheetName val="PV6_3_5L_LX5_GMX1703"/>
      <sheetName val="Agreed_Features1"/>
      <sheetName val="___DATA_(2)1"/>
      <sheetName val="series_pricing1"/>
      <sheetName val="ATS_Summary1"/>
      <sheetName val="SW_maturity_Status_Definitions1"/>
      <sheetName val="L_EQ1"/>
      <sheetName val="数据源"/>
      <sheetName val="Sheet3"/>
      <sheetName val="TC 2002"/>
      <sheetName val="TC 2005"/>
      <sheetName val="PV6_3_5L_LX5_GMX1704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진행_DATA_(2)2"/>
      <sheetName val="High_Feaure_V6_Costbook2"/>
      <sheetName val="??_DATA_(2)2"/>
      <sheetName val="PV6_3_5L_LX5_GMX1705"/>
      <sheetName val="Agreed_Features2"/>
      <sheetName val="___DATA_(2)2"/>
      <sheetName val="series_pricing2"/>
      <sheetName val="ATS_Summary2"/>
      <sheetName val="SW_maturity_Status_Definitions2"/>
      <sheetName val="L_EQ2"/>
      <sheetName val="规则_rule1"/>
      <sheetName val="TC_2002"/>
      <sheetName val="TC_2005"/>
      <sheetName val="备注"/>
      <sheetName val="model"/>
      <sheetName val="PFR Stats"/>
      <sheetName val="56271-2"/>
      <sheetName val="GLOBAL"/>
      <sheetName val="Import (CAPTIVA)"/>
      <sheetName val="贵金属行情"/>
      <sheetName val="6月超库龄"/>
      <sheetName val="Calculations_Parameters"/>
      <sheetName val="系统数据"/>
      <sheetName val="开发类型"/>
      <sheetName val="零部件类型"/>
      <sheetName val="PSS责任分工"/>
      <sheetName val="Lead"/>
      <sheetName val="大纲量-12.24"/>
      <sheetName val="降本分析--成本横向对比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COVER"/>
      <sheetName val="Models"/>
      <sheetName val="Notes Rec Retrieve"/>
      <sheetName val="Cht-Allion Fisher"/>
      <sheetName val="Starting Vehicle Database"/>
      <sheetName val="Sheet24"/>
      <sheetName val="More Info"/>
      <sheetName val="Instructions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SGM62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SGM620-02__Fcst"/>
      <sheetName val="Category_Definition"/>
      <sheetName val="LUQ03_1"/>
      <sheetName val="Income_Statement1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B"/>
      <sheetName val="Proposed Grand Am Content"/>
      <sheetName val="科目余额表"/>
      <sheetName val="1.기안지"/>
      <sheetName val="2.대외공문"/>
      <sheetName val="YS02-02"/>
      <sheetName val="Depreciation"/>
      <sheetName val="Investment Input"/>
      <sheetName val="Volume Input"/>
      <sheetName val="CM_Rev_Input"/>
      <sheetName val="Program_Info"/>
      <sheetName val="Struct Cost Input"/>
      <sheetName val="Terminal Value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Program Spending"/>
      <sheetName val="長計対比"/>
      <sheetName val="FAB별"/>
      <sheetName val="PV6_3_5L_LX5_GMX1706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진행_DATA_(2)3"/>
      <sheetName val="High_Feaure_V6_Costbook3"/>
      <sheetName val="??_DATA_(2)3"/>
      <sheetName val="PV6_3_5L_LX5_GMX1707"/>
      <sheetName val="Agreed_Features3"/>
      <sheetName val="___DATA_(2)3"/>
      <sheetName val="series_pricing3"/>
      <sheetName val="ATS_Summary3"/>
      <sheetName val="SW_maturity_Status_Definitions3"/>
      <sheetName val="L_EQ3"/>
      <sheetName val="规则_rule2"/>
      <sheetName val="TC_20021"/>
      <sheetName val="TC_20051"/>
      <sheetName val="名称管理器"/>
      <sheetName val="参考科目及二级部门清单"/>
      <sheetName val="標時"/>
      <sheetName val="PFR_Stats"/>
      <sheetName val="PV6_3_5L_LX5_GMX1708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진행_DATA_(2)4"/>
      <sheetName val="High_Feaure_V6_Costbook4"/>
      <sheetName val="??_DATA_(2)4"/>
      <sheetName val="PV6_3_5L_LX5_GMX1709"/>
      <sheetName val="Agreed_Features4"/>
      <sheetName val="___DATA_(2)4"/>
      <sheetName val="series_pricing4"/>
      <sheetName val="ATS_Summary4"/>
      <sheetName val="SW_maturity_Status_Definitions4"/>
      <sheetName val="L_EQ4"/>
      <sheetName val="规则_rule3"/>
      <sheetName val="TC_20022"/>
      <sheetName val="TC_20052"/>
      <sheetName val="LUQ03_2"/>
      <sheetName val="Income_Statement2"/>
      <sheetName val="Risk list new"/>
      <sheetName val="Control"/>
      <sheetName val="IP"/>
      <sheetName val="PV6_3_5L_LX5_GMX17010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진행_DATA_(2)5"/>
      <sheetName val="High_Feaure_V6_Costbook5"/>
      <sheetName val="??_DATA_(2)5"/>
      <sheetName val="PV6_3_5L_LX5_GMX17011"/>
      <sheetName val="___DATA_(2)5"/>
      <sheetName val="ATS_Summary5"/>
      <sheetName val="Agreed_Features5"/>
      <sheetName val="series_pricing5"/>
      <sheetName val="SW_maturity_Status_Definitions5"/>
      <sheetName val="规则_rule4"/>
      <sheetName val="LUQ03_3"/>
      <sheetName val="L_EQ5"/>
      <sheetName val="Income_Statement3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SGM62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Investment_Input"/>
      <sheetName val="Volume_Input"/>
      <sheetName val="Struct_Cost_Input"/>
      <sheetName val="Terminal_Value"/>
      <sheetName val="Loan_&amp;_Interest"/>
      <sheetName val="Key_Assumption"/>
      <sheetName val="w_facelift"/>
      <sheetName val="Program_Spending"/>
      <sheetName val="Risk_list_new"/>
      <sheetName val="メーカー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"/>
      <sheetName val="Tbom-tot"/>
      <sheetName val="GM-FINANCE"/>
      <sheetName val="Direct Labour"/>
      <sheetName val="Operating Plan Changes"/>
      <sheetName val="化工材料信息记录"/>
      <sheetName val="企业表一"/>
      <sheetName val="MtE+CO"/>
      <sheetName val="Master PPL"/>
      <sheetName val="2_O_S510K"/>
      <sheetName val="合同及资金报表（设备）"/>
      <sheetName val="Arrivals"/>
      <sheetName val="2001 Industry Mix"/>
      <sheetName val="Share SAAR"/>
      <sheetName val="Perunit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94_Qtr"/>
      <sheetName val="R&amp;O"/>
      <sheetName val="YTY Industry"/>
      <sheetName val="Workplans"/>
      <sheetName val="WS"/>
      <sheetName val="Absol"/>
      <sheetName val="USD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喷漆件入库"/>
      <sheetName val="Lists"/>
      <sheetName val="Finance Sheet"/>
      <sheetName val="明细"/>
      <sheetName val="联系人"/>
      <sheetName val="aprtakes"/>
      <sheetName val="下拉清单选项"/>
      <sheetName val="99oh"/>
      <sheetName val="현금경비중역"/>
      <sheetName val="ALLBIGPARTK8(no_door)rev11.21"/>
      <sheetName val="原始数据"/>
      <sheetName val="资产负债表"/>
      <sheetName val="#REF!"/>
      <sheetName val="Allgemein"/>
      <sheetName val="Technologieliste"/>
      <sheetName val="計画"/>
      <sheetName val="统计"/>
      <sheetName val="Operating_Plan_Changes"/>
      <sheetName val="Code"/>
      <sheetName val="hide-context"/>
      <sheetName val="Non-Statistical Sampling Master"/>
      <sheetName val="June"/>
      <sheetName val="CPCDef"/>
      <sheetName val="보고서"/>
      <sheetName val="7整车成本"/>
      <sheetName val="三级表-1月"/>
      <sheetName val="宝鸡价格"/>
      <sheetName val="春晓价格"/>
      <sheetName val="清单"/>
      <sheetName val="生涯利益計画ｼｰﾄ"/>
      <sheetName val="総合B"/>
      <sheetName val="统计图表 statistics chart"/>
      <sheetName val="调整原因"/>
      <sheetName val="美日管理费用6"/>
      <sheetName val="J48 Summary"/>
      <sheetName val="E"/>
      <sheetName val="Consol FS"/>
      <sheetName val="低压抄表"/>
      <sheetName val="Overtime"/>
      <sheetName val="PRESENT"/>
      <sheetName val="Sheet516"/>
      <sheetName val="Sheet519"/>
      <sheetName val="Parameter"/>
      <sheetName val="Sheet521"/>
      <sheetName val="MessageList"/>
      <sheetName val="Sheet443"/>
      <sheetName val="菜单"/>
      <sheetName val="封面"/>
      <sheetName val="采购成本汇总"/>
      <sheetName val="Prüfstandskostensätze"/>
      <sheetName val="OP"/>
      <sheetName val="Sheet450"/>
      <sheetName val="Vols&amp;Fixed Costs"/>
      <sheetName val="寄售材料"/>
      <sheetName val="C214 9306#25"/>
      <sheetName val="Piston-synthetic"/>
      <sheetName val="Sheet531"/>
      <sheetName val="検索条件メイク"/>
      <sheetName val="公文フォーム"/>
      <sheetName val="Issues List"/>
      <sheetName val="附2-开发费预算部门"/>
      <sheetName val="原価要素ﾏｽﾀｰ"/>
      <sheetName val="Sheet442"/>
      <sheetName val="月度抄表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LUQ03-20170704 "/>
      <sheetName val="PV6_3_5L_LX5_GMX17012"/>
      <sheetName val="Costbook_by_HRC6"/>
      <sheetName val="Costbook_Review6"/>
      <sheetName val="Chg_Review_-_Not_in_CB6"/>
      <sheetName val="Changes_in_Costbook_-_Base_FWD6"/>
      <sheetName val="Change_Summary6"/>
      <sheetName val="LC_Cost_of_Engine_Variants6"/>
      <sheetName val="New_Costbook__-_Base_FWD6"/>
      <sheetName val="Target_EAS_and_Dress6"/>
      <sheetName val="Target_Lifecycle_Costs_(700day6"/>
      <sheetName val="Lifecycle_Costs_(400day)6"/>
      <sheetName val="Lifecycle_Costs_(700day)6"/>
      <sheetName val="Lifecycle_Costs_(1300day)6"/>
      <sheetName val="Main_Tooling6"/>
      <sheetName val="Tooling_Detail6"/>
      <sheetName val="Tooling_Rebill_(700day)6"/>
      <sheetName val="Tooling_Rebill_(700day_Q's)6"/>
      <sheetName val="Selected_Component6"/>
      <sheetName val="진행_DATA_(2)6"/>
      <sheetName val="High_Feaure_V6_Costbook6"/>
      <sheetName val="??_DATA_(2)6"/>
      <sheetName val="PV6_3_5L_LX5_GMX17013"/>
      <sheetName val="___DATA_(2)6"/>
      <sheetName val="ATS_Summary6"/>
      <sheetName val="Agreed_Features6"/>
      <sheetName val="series_pricing6"/>
      <sheetName val="SW_maturity_Status_Definitions6"/>
      <sheetName val="规则_rule5"/>
      <sheetName val="L_EQ6"/>
      <sheetName val="LUQ03_4"/>
      <sheetName val="Income_Statement4"/>
      <sheetName val="TC_20024"/>
      <sheetName val="TC_20054"/>
      <sheetName val="PFR_Stats2"/>
      <sheetName val="Import_(CAPTIVA)3"/>
      <sheetName val="Costbook_Review_not_in_CB3"/>
      <sheetName val="Chg_Rvw_Booked_-_Base_FWD3"/>
      <sheetName val="Costbook_Review_in_CB3"/>
      <sheetName val="Target_to_Status_Reconciliatio3"/>
      <sheetName val="Status_Costbook__FWD_LY73"/>
      <sheetName val="Costbook_-_Target_EAS_and_Dres3"/>
      <sheetName val="Current_Status_@_1,300day3"/>
      <sheetName val="#1_Lifecycle_Costs_(700day)3"/>
      <sheetName val="#2_Lifecycle_Costs_(1300day)3"/>
      <sheetName val="#3_Lifecycle_Costs_(400day)3"/>
      <sheetName val="Notes_Rec_Retrieve2"/>
      <sheetName val="Cht-Allion_Fisher2"/>
      <sheetName val="Starting_Vehicle_Database2"/>
      <sheetName val="More_Info3"/>
      <sheetName val="Drop_Downs2"/>
      <sheetName val="Travel_Rate3"/>
      <sheetName val="investment_walk_0905122"/>
      <sheetName val="SGM610-02__Fcst2"/>
      <sheetName val="SGM620-02__Fcst2"/>
      <sheetName val="Category_Definition2"/>
      <sheetName val="SUMMARY_POSITION_(2)1"/>
      <sheetName val="Fleet_Retail_split1"/>
      <sheetName val="Proposed_Grand_Am_Content1"/>
      <sheetName val="1_기안지1"/>
      <sheetName val="2_대외공문1"/>
      <sheetName val="Investment_Input1"/>
      <sheetName val="Volume_Input1"/>
      <sheetName val="Struct_Cost_Input1"/>
      <sheetName val="Terminal_Value1"/>
      <sheetName val="Loan_&amp;_Interest1"/>
      <sheetName val="Key_Assumption1"/>
      <sheetName val="w_facelift1"/>
      <sheetName val="Program_Spending1"/>
      <sheetName val="大纲量-12_241"/>
      <sheetName val="Risk_list_new1"/>
      <sheetName val="S20_Net_Sale_Walk"/>
      <sheetName val="Key_Info"/>
      <sheetName val="Price_Range"/>
      <sheetName val="Operating_Plan_Changes1"/>
      <sheetName val="Master_PPL"/>
      <sheetName val="2001_Industry_Mix"/>
      <sheetName val="Share_SAAR"/>
      <sheetName val="4-Series_-_Control_Model"/>
      <sheetName val="2002_Matrix"/>
      <sheetName val="2001_Matrix"/>
      <sheetName val="Wsales_Summary"/>
      <sheetName val="Production_Variance"/>
      <sheetName val="YTY_Analysis"/>
      <sheetName val="XG_PU"/>
      <sheetName val="APPENDIX_Financial_IS"/>
      <sheetName val="A1_Market_Rep_2004_&amp;_2005"/>
      <sheetName val="Cash_Flow"/>
      <sheetName val="J97_CKD"/>
      <sheetName val="BU_Reco"/>
      <sheetName val="2002_SSRD"/>
      <sheetName val="YTY_Industry"/>
      <sheetName val="Mfg__Cost"/>
      <sheetName val="98_Targets_wo_yen_sharing"/>
      <sheetName val="2001_Calendar"/>
      <sheetName val="Wsales_Target"/>
      <sheetName val="2000_SSRD"/>
      <sheetName val="Retail_Spider"/>
      <sheetName val="Runout_SSRD"/>
      <sheetName val="1996_FPV_(Retail)"/>
      <sheetName val="NM_Cash_SUMMARY"/>
      <sheetName val="(1)-PROFIT_SUM_"/>
      <sheetName val="Falcon_Fam_SSRD"/>
      <sheetName val="Sched_Sum"/>
      <sheetName val="VARIANCE_ANALYSIS"/>
      <sheetName val="2000_Matrix"/>
      <sheetName val="Sedan_Mix"/>
      <sheetName val="Daily_UPD"/>
      <sheetName val="2001_SSRD"/>
      <sheetName val="Finance_Sheet"/>
      <sheetName val="Direct_Labour"/>
      <sheetName val="ALLBIGPARTK8(no_door)rev11_21"/>
      <sheetName val="Non-Statistical_Sampling_Master"/>
      <sheetName val="J48_Summary"/>
      <sheetName val="Consol_FS"/>
      <sheetName val="统计图表_statistics_chart"/>
      <sheetName val="Vols&amp;Fixed_Costs"/>
      <sheetName val="C214_9306#25"/>
      <sheetName val="Issues_List"/>
      <sheetName val="Gantt"/>
      <sheetName val="COVER Page"/>
      <sheetName val="Sheet5"/>
      <sheetName val="图表"/>
      <sheetName val="Tyler-Ext"/>
      <sheetName val="소상 &quot;1&quot;"/>
      <sheetName val="OPER. EXPENSES"/>
      <sheetName val="pfx_prov"/>
      <sheetName val="M-5C"/>
      <sheetName val="M-5A"/>
      <sheetName val="FloorPlan"/>
      <sheetName val="Tracker"/>
      <sheetName val="COVER_Page"/>
      <sheetName val="RCL MY2 24mth"/>
      <sheetName val="GLCN_Data"/>
      <sheetName val="附表"/>
      <sheetName val="费用预算项码表"/>
      <sheetName val="前提1-综合"/>
      <sheetName val="Top22(GER)"/>
      <sheetName val="LUQ03-20170704_"/>
      <sheetName val="29、费用比较"/>
      <sheetName val="EURO"/>
      <sheetName val="CPI"/>
      <sheetName val="so-021"/>
      <sheetName val="R&amp;D"/>
      <sheetName val="名簿データ"/>
      <sheetName val="Smart View INPUT"/>
      <sheetName val="CBU"/>
      <sheetName val="分类"/>
      <sheetName val="3.2 人力成本标准费用"/>
      <sheetName val="公司各月报表"/>
      <sheetName val="汇总明细"/>
      <sheetName val="宁波合同"/>
      <sheetName val="发动机变速成本"/>
      <sheetName val="H9非承载"/>
      <sheetName val="备库类别"/>
      <sheetName val="Specs"/>
      <sheetName val="有效性底表"/>
      <sheetName val="ESM ver2"/>
      <sheetName val="市场价收入"/>
      <sheetName val="提车销量"/>
      <sheetName val="车型毛利率变动"/>
      <sheetName val="往来款"/>
      <sheetName val="直接材料"/>
      <sheetName val="BDD_Traitement"/>
      <sheetName val="Couleurs"/>
      <sheetName val="1.3-a"/>
      <sheetName val="2019科目余额"/>
      <sheetName val="Bid and cash"/>
      <sheetName val="ROCE"/>
      <sheetName val="Result"/>
      <sheetName val="Retail P&amp;L"/>
      <sheetName val="不含直接"/>
      <sheetName val="EurotoolsXRates"/>
      <sheetName val="GB-IC Villingen GG"/>
      <sheetName val="分月度采购成本对比表"/>
      <sheetName val="Main"/>
      <sheetName val="Alert"/>
      <sheetName val="产量大纲24"/>
      <sheetName val="产量滚动量24"/>
      <sheetName val="正式报汇总表-底稿"/>
      <sheetName val="正式报-选型包维度"/>
      <sheetName val="Travelling_Local"/>
      <sheetName val="到票情况汇总-财务"/>
      <sheetName val="4月单台"/>
      <sheetName val="现货发货量"/>
      <sheetName val="期货发货量"/>
      <sheetName val="2.4月选装明细"/>
      <sheetName val="General Assumption"/>
      <sheetName val="BlueCross table"/>
      <sheetName val="3f Volume, Mix &amp; Option rate"/>
      <sheetName val="P.2 Price Strategy"/>
      <sheetName val="2f Pricing Strategy"/>
      <sheetName val="calc data"/>
      <sheetName val="字段名"/>
      <sheetName val="Pricing 2"/>
      <sheetName val="Option"/>
      <sheetName val="基础数据"/>
      <sheetName val="RCL MY2"/>
      <sheetName val="SUM14ZC1"/>
      <sheetName val="Help"/>
      <sheetName val="hidden_pull_list329"/>
      <sheetName val="(A1, A2, B)"/>
      <sheetName val="hidden"/>
      <sheetName val="Reg Detail"/>
      <sheetName val="Terminal"/>
      <sheetName val="资源数据源"/>
      <sheetName val="项目设备投入"/>
      <sheetName val="项目工装投入"/>
      <sheetName val="项目专用模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WEIGHT"/>
      <sheetName val="Term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配置明细"/>
      <sheetName val="项目研发费用"/>
      <sheetName val="包装物流费用"/>
      <sheetName val="业务（数据自动）"/>
      <sheetName val="配置明细BOM"/>
      <sheetName val="配置BOM"/>
      <sheetName val="Sheet2"/>
      <sheetName val="资源数据源"/>
      <sheetName val="报价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项目信息"/>
      <sheetName val="项目评估汇总-新基准"/>
      <sheetName val="项目设备投入 "/>
      <sheetName val="项目工装投入 "/>
      <sheetName val="项目专用模具 "/>
      <sheetName val="项目研发费用"/>
      <sheetName val="包装物流费用"/>
      <sheetName val="业务（数据自动）"/>
      <sheetName val="配置明细"/>
      <sheetName val="Sheet2"/>
      <sheetName val="配置BOM "/>
      <sheetName val="资源数据源"/>
      <sheetName val="项目工装投入"/>
      <sheetName val="项目专用模具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検索条件"/>
      <sheetName val="rpt03"/>
      <sheetName val="rpt01"/>
      <sheetName val="rpt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项目报价信息"/>
      <sheetName val="可行性分析"/>
      <sheetName val="项目评估汇总（标准工时）"/>
      <sheetName val="项目评估汇总（出勤工时）"/>
      <sheetName val="客户报价逻辑"/>
      <sheetName val="运营工时费"/>
      <sheetName val="期间费用"/>
      <sheetName val="设备投资明细"/>
      <sheetName val="专用模具投资明细"/>
      <sheetName val="项目工装投入"/>
      <sheetName val="研发费用"/>
      <sheetName val="包装物流费用"/>
      <sheetName val="配置明细"/>
      <sheetName val="配置BOM明细"/>
      <sheetName val="二次物料明细"/>
      <sheetName val="量纲"/>
      <sheetName val="总成件"/>
      <sheetName val="项目设备投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  <sheetName val="项目信息"/>
      <sheetName val="项目评估汇总 现铜52.73"/>
      <sheetName val="优化前 -VAVE 项目评估汇总 现铜72"/>
      <sheetName val="优化后- 项目评估汇总 现铜72  "/>
      <sheetName val="Sheet3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附件"/>
      <sheetName val="包装物流费用"/>
      <sheetName val="业务（数据自动）"/>
      <sheetName val="配置明细"/>
      <sheetName val="KSK线束BOM明细（含导线余量）"/>
      <sheetName val="成本明细"/>
      <sheetName val="资源数据源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项目损益分析"/>
      <sheetName val="项目评估汇总"/>
      <sheetName val="客户逻辑报价明细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费-业务"/>
      <sheetName val="包装物流费用"/>
      <sheetName val="业务（数据自动）"/>
      <sheetName val="配置明细"/>
      <sheetName val="BOM明细V2"/>
      <sheetName val="二次物料明细"/>
      <sheetName val="Terminal"/>
      <sheetName val="资源数据源"/>
      <sheetName val="项目设备投入"/>
      <sheetName val="项目工装投入"/>
      <sheetName val="PV6 3.5L LX5 GMX17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资源数据源"/>
      <sheetName val="项目工装投入"/>
      <sheetName val="设备投资明细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配置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6.5"/>
  <cols>
    <col min="1" max="1" width="20.6666666666667" style="328" customWidth="1"/>
    <col min="2" max="2" width="22" style="328" customWidth="1"/>
    <col min="3" max="3" width="13.3333333333333" style="328" customWidth="1"/>
    <col min="4" max="4" width="24.1083333333333" style="329" customWidth="1"/>
    <col min="5" max="5" width="23.3333333333333" style="328" customWidth="1"/>
    <col min="6" max="11" width="19.3333333333333" style="328" customWidth="1"/>
    <col min="12" max="13" width="19.3333333333333" style="328" hidden="1" customWidth="1"/>
    <col min="14" max="14" width="17.6666666666667" style="328" customWidth="1"/>
    <col min="15" max="15" width="10.775" style="330" customWidth="1"/>
    <col min="16" max="18" width="17.8916666666667" style="328" customWidth="1"/>
  </cols>
  <sheetData>
    <row r="1" ht="18" spans="1:18">
      <c r="A1" s="331" t="s">
        <v>0</v>
      </c>
      <c r="B1" s="332"/>
      <c r="C1" s="332"/>
      <c r="D1" s="333"/>
      <c r="E1" s="334"/>
      <c r="F1" s="335"/>
      <c r="G1" s="336"/>
      <c r="H1" s="337"/>
      <c r="I1" s="338"/>
      <c r="J1" s="338"/>
      <c r="K1" s="338"/>
      <c r="L1" s="338"/>
      <c r="M1" s="338"/>
      <c r="N1" s="338"/>
      <c r="P1" s="338"/>
      <c r="Q1" s="338"/>
      <c r="R1" s="338"/>
    </row>
    <row r="2" ht="18" spans="1:18">
      <c r="A2" s="339" t="s">
        <v>1</v>
      </c>
      <c r="B2" s="339"/>
      <c r="C2" s="339"/>
      <c r="D2" s="340"/>
      <c r="E2" s="339" t="s">
        <v>2</v>
      </c>
      <c r="F2" s="339"/>
      <c r="G2" s="339"/>
      <c r="H2" s="339"/>
      <c r="I2" s="341"/>
      <c r="J2" s="341"/>
      <c r="K2" s="341"/>
      <c r="L2" s="341"/>
      <c r="M2" s="341"/>
      <c r="N2" s="339" t="s">
        <v>3</v>
      </c>
      <c r="P2" s="341">
        <v>1</v>
      </c>
      <c r="Q2" s="341">
        <v>5</v>
      </c>
      <c r="R2" s="341">
        <v>9</v>
      </c>
    </row>
    <row r="3" ht="18.75" spans="1:18">
      <c r="A3" s="342"/>
      <c r="B3" s="342"/>
      <c r="C3" s="342" t="s">
        <v>4</v>
      </c>
      <c r="D3" s="343"/>
      <c r="E3" s="342" t="s">
        <v>5</v>
      </c>
      <c r="F3" s="342" t="s">
        <v>6</v>
      </c>
      <c r="G3" s="342" t="s">
        <v>7</v>
      </c>
      <c r="H3" s="342" t="s">
        <v>8</v>
      </c>
      <c r="I3" s="342" t="s">
        <v>9</v>
      </c>
      <c r="J3" s="342" t="s">
        <v>10</v>
      </c>
      <c r="K3" s="342" t="s">
        <v>11</v>
      </c>
      <c r="L3" s="342"/>
      <c r="M3" s="342"/>
      <c r="N3" s="344"/>
      <c r="P3" s="345">
        <v>6608491523</v>
      </c>
      <c r="Q3" s="345">
        <v>6608442964</v>
      </c>
      <c r="R3" s="345">
        <v>6608442966</v>
      </c>
    </row>
    <row r="4" spans="1:18">
      <c r="A4" s="346" t="s">
        <v>12</v>
      </c>
      <c r="B4" s="346"/>
      <c r="C4" s="346"/>
      <c r="D4" s="347"/>
      <c r="E4" s="348"/>
      <c r="F4" s="348" t="e">
        <f>#REF!</f>
        <v>#REF!</v>
      </c>
      <c r="G4" s="348" t="e">
        <f t="shared" ref="G4:K4" si="0">F4</f>
        <v>#REF!</v>
      </c>
      <c r="H4" s="348" t="e">
        <f t="shared" si="0"/>
        <v>#REF!</v>
      </c>
      <c r="I4" s="348" t="e">
        <f t="shared" si="0"/>
        <v>#REF!</v>
      </c>
      <c r="J4" s="348" t="e">
        <f t="shared" si="0"/>
        <v>#REF!</v>
      </c>
      <c r="K4" s="348" t="e">
        <f t="shared" si="0"/>
        <v>#REF!</v>
      </c>
      <c r="L4" s="348"/>
      <c r="M4" s="348"/>
      <c r="N4" s="349"/>
      <c r="P4" s="348" t="e">
        <f>VLOOKUP(P3,#REF!,15,0)</f>
        <v>#REF!</v>
      </c>
      <c r="Q4" s="348" t="e">
        <f>VLOOKUP(Q3,#REF!,15,0)</f>
        <v>#REF!</v>
      </c>
      <c r="R4" s="348" t="e">
        <f>VLOOKUP(R3,#REF!,15,0)</f>
        <v>#REF!</v>
      </c>
    </row>
    <row r="5" spans="1:18">
      <c r="A5" s="350" t="s">
        <v>13</v>
      </c>
      <c r="B5" s="350"/>
      <c r="C5" s="350"/>
      <c r="D5" s="351"/>
      <c r="E5" s="352">
        <f>SUM(F5:K5)</f>
        <v>240000</v>
      </c>
      <c r="F5" s="352">
        <v>34000</v>
      </c>
      <c r="G5" s="352">
        <v>54000</v>
      </c>
      <c r="H5" s="352">
        <v>50000</v>
      </c>
      <c r="I5" s="352">
        <v>45600</v>
      </c>
      <c r="J5" s="352">
        <v>37600</v>
      </c>
      <c r="K5" s="352">
        <v>18800</v>
      </c>
      <c r="L5" s="353"/>
      <c r="M5" s="353"/>
      <c r="P5" s="353">
        <f>P37</f>
        <v>240000</v>
      </c>
      <c r="Q5" s="353">
        <f>Q37</f>
        <v>240000</v>
      </c>
      <c r="R5" s="353">
        <f>R37</f>
        <v>240000</v>
      </c>
    </row>
    <row r="6" spans="1:18">
      <c r="A6" s="354" t="s">
        <v>14</v>
      </c>
      <c r="B6" s="354"/>
      <c r="C6" s="350"/>
      <c r="D6" s="351"/>
      <c r="E6" s="355"/>
      <c r="F6" s="356" t="e">
        <f>I38</f>
        <v>#REF!</v>
      </c>
      <c r="G6" s="356" t="e">
        <f>I41</f>
        <v>#REF!</v>
      </c>
      <c r="H6" s="356" t="e">
        <f>H35</f>
        <v>#REF!</v>
      </c>
      <c r="I6" s="356" t="e">
        <f t="shared" ref="H6:K6" si="1">H6</f>
        <v>#REF!</v>
      </c>
      <c r="J6" s="356" t="e">
        <f t="shared" si="1"/>
        <v>#REF!</v>
      </c>
      <c r="K6" s="356" t="e">
        <f t="shared" si="1"/>
        <v>#REF!</v>
      </c>
      <c r="L6" s="357"/>
      <c r="M6" s="357"/>
      <c r="N6" s="358" t="s">
        <v>15</v>
      </c>
      <c r="P6" s="355" t="e">
        <f>VLOOKUP(P$3,#REF!,9,0)</f>
        <v>#REF!</v>
      </c>
      <c r="Q6" s="355" t="e">
        <f>VLOOKUP(Q$3,#REF!,9,0)</f>
        <v>#REF!</v>
      </c>
      <c r="R6" s="355" t="e">
        <f>VLOOKUP(R$3,#REF!,9,0)</f>
        <v>#REF!</v>
      </c>
    </row>
    <row r="7" spans="1:18">
      <c r="A7" s="354" t="s">
        <v>16</v>
      </c>
      <c r="B7" s="354"/>
      <c r="C7" s="350"/>
      <c r="D7" s="351"/>
      <c r="E7" s="355"/>
      <c r="F7" s="355" t="e">
        <f t="shared" ref="F7:I7" si="2">F6/F4</f>
        <v>#REF!</v>
      </c>
      <c r="G7" s="355" t="e">
        <f t="shared" si="2"/>
        <v>#REF!</v>
      </c>
      <c r="H7" s="355" t="e">
        <f t="shared" si="2"/>
        <v>#REF!</v>
      </c>
      <c r="I7" s="355" t="e">
        <f t="shared" si="2"/>
        <v>#REF!</v>
      </c>
      <c r="J7" s="355" t="e">
        <f>I7</f>
        <v>#REF!</v>
      </c>
      <c r="K7" s="355" t="e">
        <f>J7</f>
        <v>#REF!</v>
      </c>
      <c r="L7" s="355"/>
      <c r="M7" s="355"/>
      <c r="N7" s="359" t="e">
        <f>(E9-E13)/E5</f>
        <v>#REF!</v>
      </c>
      <c r="P7" s="355" t="e">
        <f>P6/P4</f>
        <v>#REF!</v>
      </c>
      <c r="Q7" s="355" t="e">
        <f>Q6/Q4</f>
        <v>#REF!</v>
      </c>
      <c r="R7" s="355" t="e">
        <f>R6/R4</f>
        <v>#REF!</v>
      </c>
    </row>
    <row r="8" spans="1:18">
      <c r="A8" s="360" t="s">
        <v>17</v>
      </c>
      <c r="B8" s="360"/>
      <c r="C8" s="361"/>
      <c r="D8" s="362"/>
      <c r="E8" s="363"/>
      <c r="F8" s="363" t="e">
        <f>(#REF!+#REF!+#REF!)*3600/F4</f>
        <v>#REF!</v>
      </c>
      <c r="G8" s="363" t="e">
        <f t="shared" ref="G8:K8" si="3">F8</f>
        <v>#REF!</v>
      </c>
      <c r="H8" s="363" t="e">
        <f t="shared" si="3"/>
        <v>#REF!</v>
      </c>
      <c r="I8" s="363" t="e">
        <f t="shared" si="3"/>
        <v>#REF!</v>
      </c>
      <c r="J8" s="363" t="e">
        <f t="shared" si="3"/>
        <v>#REF!</v>
      </c>
      <c r="K8" s="363" t="e">
        <f t="shared" si="3"/>
        <v>#REF!</v>
      </c>
      <c r="L8" s="363"/>
      <c r="M8" s="363"/>
      <c r="N8" s="364"/>
      <c r="P8" s="363"/>
      <c r="Q8" s="363"/>
      <c r="R8" s="363"/>
    </row>
    <row r="9" spans="1:18">
      <c r="A9" s="354" t="s">
        <v>18</v>
      </c>
      <c r="B9" s="354"/>
      <c r="C9" s="350"/>
      <c r="D9" s="351"/>
      <c r="E9" s="352" t="e">
        <f>SUM(F9:M9)</f>
        <v>#REF!</v>
      </c>
      <c r="F9" s="352" t="e">
        <f t="shared" ref="F9:K9" si="4">F6*F5</f>
        <v>#REF!</v>
      </c>
      <c r="G9" s="352" t="e">
        <f t="shared" si="4"/>
        <v>#REF!</v>
      </c>
      <c r="H9" s="352" t="e">
        <f t="shared" si="4"/>
        <v>#REF!</v>
      </c>
      <c r="I9" s="352" t="e">
        <f t="shared" si="4"/>
        <v>#REF!</v>
      </c>
      <c r="J9" s="352" t="e">
        <f t="shared" si="4"/>
        <v>#REF!</v>
      </c>
      <c r="K9" s="352" t="e">
        <f t="shared" si="4"/>
        <v>#REF!</v>
      </c>
      <c r="L9" s="352"/>
      <c r="M9" s="352"/>
      <c r="N9" s="365" t="e">
        <f>E9/E5</f>
        <v>#REF!</v>
      </c>
      <c r="P9" s="352" t="e">
        <f>P6*P5</f>
        <v>#REF!</v>
      </c>
      <c r="Q9" s="352" t="e">
        <f>Q6*Q5</f>
        <v>#REF!</v>
      </c>
      <c r="R9" s="352" t="e">
        <f>R6*R5</f>
        <v>#REF!</v>
      </c>
    </row>
    <row r="10" hidden="1" spans="1:18">
      <c r="A10" s="354" t="s">
        <v>19</v>
      </c>
      <c r="B10" s="354"/>
      <c r="C10" s="350"/>
      <c r="D10" s="351"/>
      <c r="E10" s="352" t="e">
        <f>E9-E14</f>
        <v>#REF!</v>
      </c>
      <c r="F10" s="352" t="e">
        <f t="shared" ref="F10:K10" si="5">(F6-F14)*F5</f>
        <v>#REF!</v>
      </c>
      <c r="G10" s="352" t="e">
        <f t="shared" si="5"/>
        <v>#REF!</v>
      </c>
      <c r="H10" s="352" t="e">
        <f t="shared" si="5"/>
        <v>#REF!</v>
      </c>
      <c r="I10" s="366" t="e">
        <f t="shared" si="5"/>
        <v>#REF!</v>
      </c>
      <c r="J10" s="366" t="e">
        <f t="shared" si="5"/>
        <v>#REF!</v>
      </c>
      <c r="K10" s="366" t="e">
        <f t="shared" si="5"/>
        <v>#REF!</v>
      </c>
      <c r="L10" s="366"/>
      <c r="M10" s="366"/>
      <c r="P10" s="352" t="e">
        <f>(P6-P14)*P5</f>
        <v>#REF!</v>
      </c>
      <c r="Q10" s="352" t="e">
        <f>(Q6-Q14)*Q5</f>
        <v>#REF!</v>
      </c>
      <c r="R10" s="352" t="e">
        <f>(R6-R14)*R5</f>
        <v>#REF!</v>
      </c>
    </row>
    <row r="11" spans="1:18">
      <c r="A11" s="354" t="s">
        <v>20</v>
      </c>
      <c r="B11" s="354"/>
      <c r="C11" s="350"/>
      <c r="D11" s="351"/>
      <c r="E11" s="367" t="e">
        <f>(E9-E15-E16-E20-E23-E13-E31-E32)/E9</f>
        <v>#REF!</v>
      </c>
      <c r="F11" s="367" t="e">
        <f t="shared" ref="F11:K11" si="6">((F6-F15-F16-F20-F23)-(F13/F5)-F31-F32)/F6</f>
        <v>#REF!</v>
      </c>
      <c r="G11" s="367" t="e">
        <f t="shared" si="6"/>
        <v>#REF!</v>
      </c>
      <c r="H11" s="367" t="e">
        <f t="shared" si="6"/>
        <v>#REF!</v>
      </c>
      <c r="I11" s="367" t="e">
        <f t="shared" si="6"/>
        <v>#REF!</v>
      </c>
      <c r="J11" s="367" t="e">
        <f t="shared" si="6"/>
        <v>#REF!</v>
      </c>
      <c r="K11" s="367" t="e">
        <f t="shared" si="6"/>
        <v>#REF!</v>
      </c>
      <c r="L11" s="368"/>
      <c r="M11" s="368"/>
      <c r="N11" s="369"/>
      <c r="P11" s="368" t="e">
        <f>((P6-P15-P16-P20-P23)-(P13/P5)-P31-P32)/P6</f>
        <v>#REF!</v>
      </c>
      <c r="Q11" s="368" t="e">
        <f>((Q6-Q15-Q16-Q20-Q23)-(Q13/Q5)-Q31-Q32)/Q6</f>
        <v>#REF!</v>
      </c>
      <c r="R11" s="368" t="e">
        <f>((R6-R15-R16-R20-R23)-(R13/R5)-R31-R32)/R6</f>
        <v>#REF!</v>
      </c>
    </row>
    <row r="12" spans="1:18">
      <c r="A12" s="350" t="s">
        <v>21</v>
      </c>
      <c r="B12" s="350"/>
      <c r="C12" s="350"/>
      <c r="D12" s="351"/>
      <c r="E12" s="352" t="e">
        <f t="shared" ref="E12:K12" si="7">E11*E9</f>
        <v>#REF!</v>
      </c>
      <c r="F12" s="352" t="e">
        <f t="shared" si="7"/>
        <v>#REF!</v>
      </c>
      <c r="G12" s="352" t="e">
        <f t="shared" si="7"/>
        <v>#REF!</v>
      </c>
      <c r="H12" s="352" t="e">
        <f t="shared" si="7"/>
        <v>#REF!</v>
      </c>
      <c r="I12" s="352" t="e">
        <f t="shared" si="7"/>
        <v>#REF!</v>
      </c>
      <c r="J12" s="352" t="e">
        <f t="shared" si="7"/>
        <v>#REF!</v>
      </c>
      <c r="K12" s="352" t="e">
        <f t="shared" si="7"/>
        <v>#REF!</v>
      </c>
      <c r="L12" s="352"/>
      <c r="M12" s="352"/>
      <c r="P12" s="352" t="e">
        <f>P11*P9</f>
        <v>#REF!</v>
      </c>
      <c r="Q12" s="352" t="e">
        <f>Q11*Q9</f>
        <v>#REF!</v>
      </c>
      <c r="R12" s="352" t="e">
        <f>R11*R9</f>
        <v>#REF!</v>
      </c>
    </row>
    <row r="13" ht="17.25" spans="1:18">
      <c r="A13" s="370" t="s">
        <v>22</v>
      </c>
      <c r="B13" s="370"/>
      <c r="C13" s="370"/>
      <c r="D13" s="371"/>
      <c r="E13" s="372" t="e">
        <f>SUM(F13:J13)</f>
        <v>#REF!</v>
      </c>
      <c r="F13" s="372" t="e">
        <f>10000000*E34</f>
        <v>#REF!</v>
      </c>
      <c r="G13" s="372"/>
      <c r="H13" s="372"/>
      <c r="I13" s="372"/>
      <c r="J13" s="372"/>
      <c r="K13" s="372"/>
      <c r="L13" s="373"/>
      <c r="M13" s="373"/>
      <c r="N13" s="374"/>
      <c r="P13" s="373"/>
      <c r="Q13" s="373"/>
      <c r="R13" s="373"/>
    </row>
    <row r="14" ht="15" customHeight="1" spans="1:18">
      <c r="A14" s="375" t="s">
        <v>23</v>
      </c>
      <c r="B14" s="375"/>
      <c r="C14" s="375"/>
      <c r="D14" s="376"/>
      <c r="E14" s="377" t="e">
        <f t="shared" ref="E14:E32" si="8">F14*$F$5+G14*$G$5+H14*$H$5+$I$5*I14+J14*$J$5+K14*$K$5+L14*$L$5+M14*$M$5</f>
        <v>#REF!</v>
      </c>
      <c r="F14" s="377" t="e">
        <f>SUM(P14:R14)</f>
        <v>#REF!</v>
      </c>
      <c r="G14" s="377" t="e">
        <f t="shared" ref="F14:M14" si="9">G16+G15+G20+G23+G31+G32</f>
        <v>#REF!</v>
      </c>
      <c r="H14" s="377" t="e">
        <f t="shared" si="9"/>
        <v>#REF!</v>
      </c>
      <c r="I14" s="377" t="e">
        <f t="shared" si="9"/>
        <v>#REF!</v>
      </c>
      <c r="J14" s="377" t="e">
        <f t="shared" si="9"/>
        <v>#REF!</v>
      </c>
      <c r="K14" s="377" t="e">
        <f t="shared" si="9"/>
        <v>#REF!</v>
      </c>
      <c r="L14" s="377">
        <f t="shared" si="9"/>
        <v>0</v>
      </c>
      <c r="M14" s="377">
        <f t="shared" si="9"/>
        <v>0</v>
      </c>
      <c r="N14" s="378" t="e">
        <f t="shared" ref="N14:N32" si="10">(E14/$E$5)/($N$7-$E$13/$E$5)</f>
        <v>#REF!</v>
      </c>
      <c r="O14" s="330" t="e" cm="1">
        <f t="array" ref="O14">SUMPRODUCT(P14:R14,$P$35:$R$35)-K14</f>
        <v>#REF!</v>
      </c>
      <c r="P14" s="377" t="e">
        <f>P16+P15+P20+P23+P31+P32</f>
        <v>#REF!</v>
      </c>
      <c r="Q14" s="377" t="e">
        <f>Q16+Q15+Q20+Q23+Q31+Q32</f>
        <v>#REF!</v>
      </c>
      <c r="R14" s="377" t="e">
        <f>R16+R15+R20+R23+R31+R32</f>
        <v>#REF!</v>
      </c>
    </row>
    <row r="15" ht="15" customHeight="1" spans="1:18">
      <c r="A15" s="379" t="s">
        <v>24</v>
      </c>
      <c r="B15" s="379"/>
      <c r="C15" s="380"/>
      <c r="D15" s="381" t="s">
        <v>25</v>
      </c>
      <c r="E15" s="382" t="e">
        <f t="shared" si="8"/>
        <v>#REF!</v>
      </c>
      <c r="F15" s="382" t="e">
        <f>SUM(P15:R15)</f>
        <v>#REF!</v>
      </c>
      <c r="G15" s="382" t="e">
        <f t="shared" ref="G15:K15" si="11">F15</f>
        <v>#REF!</v>
      </c>
      <c r="H15" s="382" t="e">
        <f t="shared" si="11"/>
        <v>#REF!</v>
      </c>
      <c r="I15" s="383" t="e">
        <f t="shared" si="11"/>
        <v>#REF!</v>
      </c>
      <c r="J15" s="382" t="e">
        <f t="shared" si="11"/>
        <v>#REF!</v>
      </c>
      <c r="K15" s="382" t="e">
        <f t="shared" si="11"/>
        <v>#REF!</v>
      </c>
      <c r="L15" s="382"/>
      <c r="M15" s="382"/>
      <c r="N15" s="384" t="e">
        <f t="shared" si="10"/>
        <v>#REF!</v>
      </c>
      <c r="O15" s="330" t="e" cm="1">
        <f t="array" ref="O15">SUMPRODUCT(P15:R15,$P$35:$R$35)-K15</f>
        <v>#REF!</v>
      </c>
      <c r="P15" s="382" t="e">
        <f>VLOOKUP(P3,#REF!,6,0)</f>
        <v>#REF!</v>
      </c>
      <c r="Q15" s="382" t="e">
        <f>VLOOKUP(Q3,#REF!,6,0)</f>
        <v>#REF!</v>
      </c>
      <c r="R15" s="382" t="e">
        <f>VLOOKUP(R3,#REF!,6,0)</f>
        <v>#REF!</v>
      </c>
    </row>
    <row r="16" ht="15" customHeight="1" spans="1:18">
      <c r="A16" s="385" t="s">
        <v>26</v>
      </c>
      <c r="B16" s="385"/>
      <c r="C16" s="386"/>
      <c r="D16" s="387"/>
      <c r="E16" s="388" t="e">
        <f t="shared" si="8"/>
        <v>#REF!</v>
      </c>
      <c r="F16" s="388" t="e">
        <f t="shared" ref="F15:F32" si="12">SUM(P16:R16)</f>
        <v>#REF!</v>
      </c>
      <c r="G16" s="388" t="e">
        <f t="shared" ref="F16:H16" si="13">G17+G18+G19</f>
        <v>#REF!</v>
      </c>
      <c r="H16" s="388" t="e">
        <f t="shared" si="13"/>
        <v>#REF!</v>
      </c>
      <c r="I16" s="389" t="e">
        <f t="shared" ref="I16:K16" si="14">H16</f>
        <v>#REF!</v>
      </c>
      <c r="J16" s="388" t="e">
        <f t="shared" si="14"/>
        <v>#REF!</v>
      </c>
      <c r="K16" s="388" t="e">
        <f t="shared" si="14"/>
        <v>#REF!</v>
      </c>
      <c r="L16" s="388"/>
      <c r="M16" s="388"/>
      <c r="N16" s="390" t="e">
        <f t="shared" si="10"/>
        <v>#REF!</v>
      </c>
      <c r="O16" s="330" t="e" cm="1">
        <f t="array" ref="O16">SUMPRODUCT(P16:R16,$P$35:$R$35)-K16</f>
        <v>#REF!</v>
      </c>
      <c r="P16" s="388" t="e">
        <f>P17+P18+P19</f>
        <v>#REF!</v>
      </c>
      <c r="Q16" s="388" t="e">
        <f>Q17+Q18+Q19</f>
        <v>#REF!</v>
      </c>
      <c r="R16" s="388" t="e">
        <f>R17+R18+R19</f>
        <v>#REF!</v>
      </c>
    </row>
    <row r="17" ht="15" customHeight="1" spans="1:18">
      <c r="A17" s="391"/>
      <c r="B17" s="392" t="s">
        <v>27</v>
      </c>
      <c r="C17" s="393" t="s">
        <v>28</v>
      </c>
      <c r="D17" s="394" t="s">
        <v>29</v>
      </c>
      <c r="E17" s="395" t="e">
        <f t="shared" si="8"/>
        <v>#REF!</v>
      </c>
      <c r="F17" s="396" t="e">
        <f t="shared" si="12"/>
        <v>#REF!</v>
      </c>
      <c r="G17" s="396" t="e">
        <f t="shared" ref="G17:K17" si="15">F17</f>
        <v>#REF!</v>
      </c>
      <c r="H17" s="396" t="e">
        <f t="shared" si="15"/>
        <v>#REF!</v>
      </c>
      <c r="I17" s="396" t="e">
        <f t="shared" si="15"/>
        <v>#REF!</v>
      </c>
      <c r="J17" s="396" t="e">
        <f t="shared" si="15"/>
        <v>#REF!</v>
      </c>
      <c r="K17" s="396" t="e">
        <f t="shared" si="15"/>
        <v>#REF!</v>
      </c>
      <c r="L17" s="396"/>
      <c r="M17" s="396"/>
      <c r="N17" s="397" t="e">
        <f t="shared" si="10"/>
        <v>#REF!</v>
      </c>
      <c r="O17" s="330" t="e" cm="1">
        <f t="array" ref="O17">SUMPRODUCT(P17:R17,$P$35:$R$35)-K17</f>
        <v>#REF!</v>
      </c>
      <c r="P17" s="396" t="e">
        <f>VLOOKUP(P3,#REF!,11,0)*运营工时费报价基准!$D$6/运营工时费报价基准!$M$5</f>
        <v>#REF!</v>
      </c>
      <c r="Q17" s="396" t="e">
        <f>VLOOKUP(Q3,#REF!,11,0)*运营工时费报价基准!$D$6/运营工时费报价基准!$M$5</f>
        <v>#REF!</v>
      </c>
      <c r="R17" s="396" t="e">
        <f>VLOOKUP(R3,#REF!,11,0)*运营工时费报价基准!$D$6/运营工时费报价基准!$M$5</f>
        <v>#REF!</v>
      </c>
    </row>
    <row r="18" ht="15" customHeight="1" spans="1:18">
      <c r="A18" s="391"/>
      <c r="B18" s="392" t="s">
        <v>30</v>
      </c>
      <c r="C18" s="393" t="s">
        <v>31</v>
      </c>
      <c r="D18" s="394" t="s">
        <v>32</v>
      </c>
      <c r="E18" s="395" t="e">
        <f t="shared" si="8"/>
        <v>#REF!</v>
      </c>
      <c r="F18" s="396" t="e">
        <f t="shared" si="12"/>
        <v>#REF!</v>
      </c>
      <c r="G18" s="396" t="e">
        <f t="shared" ref="G18:K18" si="16">F18</f>
        <v>#REF!</v>
      </c>
      <c r="H18" s="396" t="e">
        <f t="shared" si="16"/>
        <v>#REF!</v>
      </c>
      <c r="I18" s="395" t="e">
        <f t="shared" si="16"/>
        <v>#REF!</v>
      </c>
      <c r="J18" s="396" t="e">
        <f t="shared" si="16"/>
        <v>#REF!</v>
      </c>
      <c r="K18" s="396" t="e">
        <f t="shared" si="16"/>
        <v>#REF!</v>
      </c>
      <c r="L18" s="396"/>
      <c r="M18" s="396"/>
      <c r="N18" s="397" t="e">
        <f t="shared" si="10"/>
        <v>#REF!</v>
      </c>
      <c r="O18" s="330" t="e" cm="1">
        <f t="array" ref="O18">SUMPRODUCT(P18:R18,$P$35:$R$35)-K18</f>
        <v>#REF!</v>
      </c>
      <c r="P18" s="396" t="e">
        <f>VLOOKUP(P3,#REF!,12,0)*运营工时费报价基准!$E$8/运营工时费报价基准!$M$5</f>
        <v>#REF!</v>
      </c>
      <c r="Q18" s="396" t="e">
        <f>VLOOKUP(Q3,#REF!,12,0)*运营工时费报价基准!$E$8/运营工时费报价基准!$M$5</f>
        <v>#REF!</v>
      </c>
      <c r="R18" s="396" t="e">
        <f>VLOOKUP(R3,#REF!,12,0)*运营工时费报价基准!$E$8/运营工时费报价基准!$M$5</f>
        <v>#REF!</v>
      </c>
    </row>
    <row r="19" ht="15" customHeight="1" spans="1:18">
      <c r="A19" s="391"/>
      <c r="B19" s="392" t="s">
        <v>33</v>
      </c>
      <c r="C19" s="393" t="s">
        <v>34</v>
      </c>
      <c r="D19" s="394" t="s">
        <v>35</v>
      </c>
      <c r="E19" s="395" t="e">
        <f t="shared" si="8"/>
        <v>#REF!</v>
      </c>
      <c r="F19" s="396" t="e">
        <f t="shared" si="12"/>
        <v>#REF!</v>
      </c>
      <c r="G19" s="396" t="e">
        <f t="shared" ref="G19:K19" si="17">F19</f>
        <v>#REF!</v>
      </c>
      <c r="H19" s="396" t="e">
        <f t="shared" si="17"/>
        <v>#REF!</v>
      </c>
      <c r="I19" s="395" t="e">
        <f t="shared" si="17"/>
        <v>#REF!</v>
      </c>
      <c r="J19" s="396" t="e">
        <f t="shared" si="17"/>
        <v>#REF!</v>
      </c>
      <c r="K19" s="396" t="e">
        <f t="shared" si="17"/>
        <v>#REF!</v>
      </c>
      <c r="L19" s="396"/>
      <c r="M19" s="396"/>
      <c r="N19" s="397" t="e">
        <f t="shared" si="10"/>
        <v>#REF!</v>
      </c>
      <c r="O19" s="330" t="e" cm="1">
        <f t="array" ref="O19">SUMPRODUCT(P19:R19,$P$35:$R$35)-K19</f>
        <v>#REF!</v>
      </c>
      <c r="P19" s="396" t="e">
        <f>VLOOKUP(P3,#REF!,13,0)*运营工时费报价基准!$E$8/运营工时费报价基准!$M$5</f>
        <v>#REF!</v>
      </c>
      <c r="Q19" s="396" t="e">
        <f>VLOOKUP(Q3,#REF!,13,0)*运营工时费报价基准!$E$8/运营工时费报价基准!$M$5</f>
        <v>#REF!</v>
      </c>
      <c r="R19" s="396" t="e">
        <f>VLOOKUP(R3,#REF!,13,0)*运营工时费报价基准!$E$8/运营工时费报价基准!$M$5</f>
        <v>#REF!</v>
      </c>
    </row>
    <row r="20" ht="15" customHeight="1" spans="1:18">
      <c r="A20" s="385" t="s">
        <v>36</v>
      </c>
      <c r="B20" s="385"/>
      <c r="C20" s="385"/>
      <c r="D20" s="398"/>
      <c r="E20" s="388" t="e">
        <f t="shared" si="8"/>
        <v>#REF!</v>
      </c>
      <c r="F20" s="388" t="e">
        <f t="shared" si="12"/>
        <v>#REF!</v>
      </c>
      <c r="G20" s="388" t="e">
        <f t="shared" ref="F20:H20" si="18">G21+G22</f>
        <v>#REF!</v>
      </c>
      <c r="H20" s="388" t="e">
        <f t="shared" si="18"/>
        <v>#REF!</v>
      </c>
      <c r="I20" s="389" t="e">
        <f t="shared" ref="I20:K20" si="19">H20</f>
        <v>#REF!</v>
      </c>
      <c r="J20" s="388" t="e">
        <f t="shared" si="19"/>
        <v>#REF!</v>
      </c>
      <c r="K20" s="388" t="e">
        <f t="shared" si="19"/>
        <v>#REF!</v>
      </c>
      <c r="L20" s="388"/>
      <c r="M20" s="388"/>
      <c r="N20" s="390" t="e">
        <f t="shared" si="10"/>
        <v>#REF!</v>
      </c>
      <c r="O20" s="330" t="e" cm="1">
        <f t="array" ref="O20">SUMPRODUCT(P20:R20,$P$35:$R$35)-K20</f>
        <v>#REF!</v>
      </c>
      <c r="P20" s="388" t="e">
        <f>P21+P22</f>
        <v>#REF!</v>
      </c>
      <c r="Q20" s="388" t="e">
        <f>Q21+Q22</f>
        <v>#REF!</v>
      </c>
      <c r="R20" s="388" t="e">
        <f>R21+R22</f>
        <v>#REF!</v>
      </c>
    </row>
    <row r="21" ht="15" customHeight="1" spans="1:18">
      <c r="A21" s="399"/>
      <c r="B21" s="399" t="s">
        <v>37</v>
      </c>
      <c r="C21" s="394"/>
      <c r="D21" s="400" t="s">
        <v>38</v>
      </c>
      <c r="E21" s="395" t="e">
        <f t="shared" si="8"/>
        <v>#REF!</v>
      </c>
      <c r="F21" s="396" t="e">
        <f t="shared" si="12"/>
        <v>#REF!</v>
      </c>
      <c r="G21" s="396" t="e">
        <f t="shared" ref="G21:K21" si="20">F21</f>
        <v>#REF!</v>
      </c>
      <c r="H21" s="396" t="e">
        <f t="shared" si="20"/>
        <v>#REF!</v>
      </c>
      <c r="I21" s="395" t="e">
        <f t="shared" si="20"/>
        <v>#REF!</v>
      </c>
      <c r="J21" s="396" t="e">
        <f t="shared" si="20"/>
        <v>#REF!</v>
      </c>
      <c r="K21" s="396" t="e">
        <f t="shared" si="20"/>
        <v>#REF!</v>
      </c>
      <c r="L21" s="396"/>
      <c r="M21" s="396"/>
      <c r="N21" s="397" t="e">
        <f t="shared" si="10"/>
        <v>#REF!</v>
      </c>
      <c r="O21" s="330" t="e" cm="1">
        <f t="array" ref="O21">SUMPRODUCT(P21:R21,$P$35:$R$35)-K21</f>
        <v>#REF!</v>
      </c>
      <c r="P21" s="396" t="e">
        <f>设备投资明细!Q31</f>
        <v>#REF!</v>
      </c>
      <c r="Q21" s="396" t="e">
        <f>设备投资明细!U31</f>
        <v>#REF!</v>
      </c>
      <c r="R21" s="396" t="e">
        <f>设备投资明细!Y31</f>
        <v>#REF!</v>
      </c>
    </row>
    <row r="22" ht="15" customHeight="1" spans="1:18">
      <c r="A22" s="399"/>
      <c r="B22" s="399" t="s">
        <v>39</v>
      </c>
      <c r="C22" s="394"/>
      <c r="D22" s="400" t="s">
        <v>40</v>
      </c>
      <c r="E22" s="395" t="e">
        <f t="shared" si="8"/>
        <v>#REF!</v>
      </c>
      <c r="F22" s="396" t="e">
        <f t="shared" si="12"/>
        <v>#REF!</v>
      </c>
      <c r="G22" s="396" t="e">
        <f>F22-3</f>
        <v>#REF!</v>
      </c>
      <c r="H22" s="396" t="e">
        <f t="shared" ref="H22:K22" si="21">G22</f>
        <v>#REF!</v>
      </c>
      <c r="I22" s="396" t="e">
        <f t="shared" si="21"/>
        <v>#REF!</v>
      </c>
      <c r="J22" s="396" t="e">
        <f t="shared" si="21"/>
        <v>#REF!</v>
      </c>
      <c r="K22" s="396" t="e">
        <f t="shared" si="21"/>
        <v>#REF!</v>
      </c>
      <c r="L22" s="396"/>
      <c r="M22" s="396"/>
      <c r="N22" s="397" t="e">
        <f t="shared" si="10"/>
        <v>#REF!</v>
      </c>
      <c r="O22" s="330" t="e" cm="1">
        <f t="array" ref="O22">SUMPRODUCT(P22:R22,$P$35:$R$35)-K22</f>
        <v>#REF!</v>
      </c>
      <c r="P22" s="396" t="e">
        <f>设备投资明细!Q41+项目专用模具!O14+'项目工装投入 '!O15</f>
        <v>#REF!</v>
      </c>
      <c r="Q22" s="396" t="e">
        <f>设备投资明细!U41+项目专用模具!S14+'项目工装投入 '!S15</f>
        <v>#REF!</v>
      </c>
      <c r="R22" s="396" t="e">
        <f>设备投资明细!Y41+项目专用模具!W14+'项目工装投入 '!W15</f>
        <v>#REF!</v>
      </c>
    </row>
    <row r="23" ht="15" customHeight="1" spans="1:18">
      <c r="A23" s="385" t="s">
        <v>41</v>
      </c>
      <c r="B23" s="385"/>
      <c r="C23" s="385"/>
      <c r="D23" s="398"/>
      <c r="E23" s="388" t="e">
        <f t="shared" si="8"/>
        <v>#REF!</v>
      </c>
      <c r="F23" s="388" t="e">
        <f t="shared" si="12"/>
        <v>#REF!</v>
      </c>
      <c r="G23" s="388" t="e">
        <f t="shared" ref="F23:K23" si="22">G24+G25+G26+G27+G28+G29+G30</f>
        <v>#REF!</v>
      </c>
      <c r="H23" s="388" t="e">
        <f t="shared" si="22"/>
        <v>#REF!</v>
      </c>
      <c r="I23" s="388" t="e">
        <f t="shared" si="22"/>
        <v>#REF!</v>
      </c>
      <c r="J23" s="388" t="e">
        <f t="shared" si="22"/>
        <v>#REF!</v>
      </c>
      <c r="K23" s="388" t="e">
        <f t="shared" si="22"/>
        <v>#REF!</v>
      </c>
      <c r="L23" s="388"/>
      <c r="M23" s="388"/>
      <c r="N23" s="390" t="e">
        <f t="shared" si="10"/>
        <v>#REF!</v>
      </c>
      <c r="O23" s="330" t="e" cm="1">
        <f t="array" ref="O23">SUMPRODUCT(P23:R23,$P$35:$R$35)-K23</f>
        <v>#REF!</v>
      </c>
      <c r="P23" s="388" t="e">
        <f>P24+P25+P26+P27+P28+P29+P30</f>
        <v>#REF!</v>
      </c>
      <c r="Q23" s="388" t="e">
        <f>Q24+Q25+Q26+Q27+Q28+Q29+Q30</f>
        <v>#REF!</v>
      </c>
      <c r="R23" s="388" t="e">
        <f>R24+R25+R26+R27+R28+R29+R30</f>
        <v>#REF!</v>
      </c>
    </row>
    <row r="24" ht="15" customHeight="1" spans="1:18">
      <c r="A24" s="401"/>
      <c r="B24" s="401" t="s">
        <v>42</v>
      </c>
      <c r="C24" s="399" t="s">
        <v>43</v>
      </c>
      <c r="D24" s="402" t="s">
        <v>44</v>
      </c>
      <c r="E24" s="395" t="e">
        <f t="shared" si="8"/>
        <v>#REF!</v>
      </c>
      <c r="F24" s="396" t="e">
        <f t="shared" si="12"/>
        <v>#REF!</v>
      </c>
      <c r="G24" s="396" t="e">
        <f t="shared" ref="G24:K24" si="23">F24</f>
        <v>#REF!</v>
      </c>
      <c r="H24" s="396" t="e">
        <f t="shared" si="23"/>
        <v>#REF!</v>
      </c>
      <c r="I24" s="395" t="e">
        <f t="shared" si="23"/>
        <v>#REF!</v>
      </c>
      <c r="J24" s="396" t="e">
        <f t="shared" si="23"/>
        <v>#REF!</v>
      </c>
      <c r="K24" s="396" t="e">
        <f t="shared" si="23"/>
        <v>#REF!</v>
      </c>
      <c r="L24" s="396"/>
      <c r="M24" s="396"/>
      <c r="N24" s="397" t="e">
        <f t="shared" si="10"/>
        <v>#REF!</v>
      </c>
      <c r="O24" s="330" t="e" cm="1">
        <f t="array" ref="O24">SUMPRODUCT(P24:R24,$P$35:$R$35)-K24</f>
        <v>#REF!</v>
      </c>
      <c r="P24" s="396" t="e">
        <f>(VLOOKUP(P$3,#REF!,11,0)+VLOOKUP(P$3,#REF!,12,0)+VLOOKUP(P$3,#REF!,13,0))*运营工时费报价基准!$E$10</f>
        <v>#REF!</v>
      </c>
      <c r="Q24" s="396" t="e">
        <f>(VLOOKUP(Q$3,#REF!,11,0)+VLOOKUP(Q$3,#REF!,12,0)+VLOOKUP(Q$3,#REF!,13,0))*运营工时费报价基准!$E$10</f>
        <v>#REF!</v>
      </c>
      <c r="R24" s="396" t="e">
        <f>(VLOOKUP(R$3,#REF!,11,0)+VLOOKUP(R$3,#REF!,12,0)+VLOOKUP(R$3,#REF!,13,0))*运营工时费报价基准!$E$10</f>
        <v>#REF!</v>
      </c>
    </row>
    <row r="25" ht="15" customHeight="1" spans="1:18">
      <c r="A25" s="401"/>
      <c r="B25" s="401" t="s">
        <v>45</v>
      </c>
      <c r="C25" s="399" t="s">
        <v>43</v>
      </c>
      <c r="D25" s="402" t="s">
        <v>44</v>
      </c>
      <c r="E25" s="395" t="e">
        <f t="shared" si="8"/>
        <v>#REF!</v>
      </c>
      <c r="F25" s="396" t="e">
        <f t="shared" si="12"/>
        <v>#REF!</v>
      </c>
      <c r="G25" s="396" t="e">
        <f t="shared" ref="G25:K25" si="24">F25</f>
        <v>#REF!</v>
      </c>
      <c r="H25" s="396" t="e">
        <f t="shared" si="24"/>
        <v>#REF!</v>
      </c>
      <c r="I25" s="395" t="e">
        <f t="shared" si="24"/>
        <v>#REF!</v>
      </c>
      <c r="J25" s="396" t="e">
        <f t="shared" si="24"/>
        <v>#REF!</v>
      </c>
      <c r="K25" s="396" t="e">
        <f t="shared" si="24"/>
        <v>#REF!</v>
      </c>
      <c r="L25" s="396"/>
      <c r="M25" s="396"/>
      <c r="N25" s="397" t="e">
        <f t="shared" si="10"/>
        <v>#REF!</v>
      </c>
      <c r="O25" s="330" t="e" cm="1">
        <f t="array" ref="O25">SUMPRODUCT(P25:R25,$P$35:$R$35)-K25</f>
        <v>#REF!</v>
      </c>
      <c r="P25" s="396" t="e">
        <f>(VLOOKUP(P$3,#REF!,11,0)+VLOOKUP(P$3,#REF!,12,0)+VLOOKUP(P$3,#REF!,13,0))*运营工时费报价基准!$E$11</f>
        <v>#REF!</v>
      </c>
      <c r="Q25" s="396" t="e">
        <f>(VLOOKUP(Q$3,#REF!,11,0)+VLOOKUP(Q$3,#REF!,12,0)+VLOOKUP(Q$3,#REF!,13,0))*运营工时费报价基准!$E$11</f>
        <v>#REF!</v>
      </c>
      <c r="R25" s="396" t="e">
        <f>(VLOOKUP(R$3,#REF!,11,0)+VLOOKUP(R$3,#REF!,12,0)+VLOOKUP(R$3,#REF!,13,0))*运营工时费报价基准!$E$11</f>
        <v>#REF!</v>
      </c>
    </row>
    <row r="26" ht="15" customHeight="1" spans="1:18">
      <c r="A26" s="401"/>
      <c r="B26" s="401" t="s">
        <v>46</v>
      </c>
      <c r="C26" s="399" t="s">
        <v>43</v>
      </c>
      <c r="D26" s="402" t="s">
        <v>44</v>
      </c>
      <c r="E26" s="395" t="e">
        <f t="shared" si="8"/>
        <v>#REF!</v>
      </c>
      <c r="F26" s="396" t="e">
        <f t="shared" si="12"/>
        <v>#REF!</v>
      </c>
      <c r="G26" s="396" t="e">
        <f t="shared" ref="G26:K26" si="25">F26</f>
        <v>#REF!</v>
      </c>
      <c r="H26" s="396" t="e">
        <f t="shared" si="25"/>
        <v>#REF!</v>
      </c>
      <c r="I26" s="395" t="e">
        <f t="shared" si="25"/>
        <v>#REF!</v>
      </c>
      <c r="J26" s="396" t="e">
        <f t="shared" si="25"/>
        <v>#REF!</v>
      </c>
      <c r="K26" s="396" t="e">
        <f t="shared" si="25"/>
        <v>#REF!</v>
      </c>
      <c r="L26" s="396"/>
      <c r="M26" s="396"/>
      <c r="N26" s="397" t="e">
        <f t="shared" si="10"/>
        <v>#REF!</v>
      </c>
      <c r="O26" s="330" t="e" cm="1">
        <f t="array" ref="O26">SUMPRODUCT(P26:R26,$P$35:$R$35)-K26</f>
        <v>#REF!</v>
      </c>
      <c r="P26" s="396" t="e">
        <f>(VLOOKUP(P$3,#REF!,11,0)+VLOOKUP(P$3,#REF!,12,0)+VLOOKUP(P$3,#REF!,13,0))*运营工时费报价基准!$E$12</f>
        <v>#REF!</v>
      </c>
      <c r="Q26" s="396" t="e">
        <f>(VLOOKUP(Q$3,#REF!,11,0)+VLOOKUP(Q$3,#REF!,12,0)+VLOOKUP(Q$3,#REF!,13,0))*运营工时费报价基准!$E$12</f>
        <v>#REF!</v>
      </c>
      <c r="R26" s="396" t="e">
        <f>(VLOOKUP(R$3,#REF!,11,0)+VLOOKUP(R$3,#REF!,12,0)+VLOOKUP(R$3,#REF!,13,0))*运营工时费报价基准!$E$12</f>
        <v>#REF!</v>
      </c>
    </row>
    <row r="27" ht="15" customHeight="1" spans="1:18">
      <c r="A27" s="401"/>
      <c r="B27" s="401" t="s">
        <v>47</v>
      </c>
      <c r="C27" s="399" t="s">
        <v>43</v>
      </c>
      <c r="D27" s="402" t="s">
        <v>44</v>
      </c>
      <c r="E27" s="395" t="e">
        <f t="shared" si="8"/>
        <v>#REF!</v>
      </c>
      <c r="F27" s="396" t="e">
        <f t="shared" si="12"/>
        <v>#REF!</v>
      </c>
      <c r="G27" s="396" t="e">
        <f t="shared" ref="G27:K27" si="26">F27</f>
        <v>#REF!</v>
      </c>
      <c r="H27" s="396" t="e">
        <f t="shared" si="26"/>
        <v>#REF!</v>
      </c>
      <c r="I27" s="395" t="e">
        <f t="shared" si="26"/>
        <v>#REF!</v>
      </c>
      <c r="J27" s="396" t="e">
        <f t="shared" si="26"/>
        <v>#REF!</v>
      </c>
      <c r="K27" s="396" t="e">
        <f t="shared" si="26"/>
        <v>#REF!</v>
      </c>
      <c r="L27" s="396"/>
      <c r="M27" s="396"/>
      <c r="N27" s="397" t="e">
        <f t="shared" si="10"/>
        <v>#REF!</v>
      </c>
      <c r="O27" s="330" t="e" cm="1">
        <f t="array" ref="O27">SUMPRODUCT(P27:R27,$P$35:$R$35)-K27</f>
        <v>#REF!</v>
      </c>
      <c r="P27" s="396" t="e">
        <f>(VLOOKUP(P$3,#REF!,11,0)+VLOOKUP(P$3,#REF!,12,0)+VLOOKUP(P$3,#REF!,13,0))*运营工时费报价基准!$E$13</f>
        <v>#REF!</v>
      </c>
      <c r="Q27" s="396" t="e">
        <f>(VLOOKUP(Q$3,#REF!,11,0)+VLOOKUP(Q$3,#REF!,12,0)+VLOOKUP(Q$3,#REF!,13,0))*运营工时费报价基准!$E$13</f>
        <v>#REF!</v>
      </c>
      <c r="R27" s="396" t="e">
        <f>(VLOOKUP(R$3,#REF!,11,0)+VLOOKUP(R$3,#REF!,12,0)+VLOOKUP(R$3,#REF!,13,0))*运营工时费报价基准!$E$13</f>
        <v>#REF!</v>
      </c>
    </row>
    <row r="28" ht="15" customHeight="1" spans="1:18">
      <c r="A28" s="401"/>
      <c r="B28" s="401" t="s">
        <v>48</v>
      </c>
      <c r="C28" s="399" t="s">
        <v>43</v>
      </c>
      <c r="D28" s="402" t="s">
        <v>44</v>
      </c>
      <c r="E28" s="395" t="e">
        <f t="shared" si="8"/>
        <v>#REF!</v>
      </c>
      <c r="F28" s="396" t="e">
        <f t="shared" si="12"/>
        <v>#REF!</v>
      </c>
      <c r="G28" s="396" t="e">
        <f t="shared" ref="G28:K28" si="27">F28</f>
        <v>#REF!</v>
      </c>
      <c r="H28" s="396" t="e">
        <f t="shared" si="27"/>
        <v>#REF!</v>
      </c>
      <c r="I28" s="395" t="e">
        <f t="shared" si="27"/>
        <v>#REF!</v>
      </c>
      <c r="J28" s="396" t="e">
        <f t="shared" si="27"/>
        <v>#REF!</v>
      </c>
      <c r="K28" s="396" t="e">
        <f t="shared" si="27"/>
        <v>#REF!</v>
      </c>
      <c r="L28" s="396"/>
      <c r="M28" s="396"/>
      <c r="N28" s="397" t="e">
        <f t="shared" si="10"/>
        <v>#REF!</v>
      </c>
      <c r="O28" s="330" t="e" cm="1">
        <f t="array" ref="O28">SUMPRODUCT(P28:R28,$P$35:$R$35)-K28</f>
        <v>#REF!</v>
      </c>
      <c r="P28" s="396" t="e">
        <f>(VLOOKUP(P$3,#REF!,11,0)+VLOOKUP(P$3,#REF!,12,0)+VLOOKUP(P$3,#REF!,13,0))*运营工时费报价基准!$E$14</f>
        <v>#REF!</v>
      </c>
      <c r="Q28" s="396" t="e">
        <f>(VLOOKUP(Q$3,#REF!,11,0)+VLOOKUP(Q$3,#REF!,12,0)+VLOOKUP(Q$3,#REF!,13,0))*运营工时费报价基准!$E$14</f>
        <v>#REF!</v>
      </c>
      <c r="R28" s="396" t="e">
        <f>(VLOOKUP(R$3,#REF!,11,0)+VLOOKUP(R$3,#REF!,12,0)+VLOOKUP(R$3,#REF!,13,0))*运营工时费报价基准!$E$14</f>
        <v>#REF!</v>
      </c>
    </row>
    <row r="29" ht="15" customHeight="1" spans="1:18">
      <c r="A29" s="401"/>
      <c r="B29" s="401" t="s">
        <v>49</v>
      </c>
      <c r="C29" s="399" t="s">
        <v>43</v>
      </c>
      <c r="D29" s="402" t="s">
        <v>44</v>
      </c>
      <c r="E29" s="395" t="e">
        <f t="shared" si="8"/>
        <v>#REF!</v>
      </c>
      <c r="F29" s="396" t="e">
        <f t="shared" si="12"/>
        <v>#REF!</v>
      </c>
      <c r="G29" s="396" t="e">
        <f t="shared" ref="G29:K29" si="28">F29</f>
        <v>#REF!</v>
      </c>
      <c r="H29" s="396" t="e">
        <f t="shared" si="28"/>
        <v>#REF!</v>
      </c>
      <c r="I29" s="395" t="e">
        <f t="shared" si="28"/>
        <v>#REF!</v>
      </c>
      <c r="J29" s="396" t="e">
        <f t="shared" si="28"/>
        <v>#REF!</v>
      </c>
      <c r="K29" s="396" t="e">
        <f t="shared" si="28"/>
        <v>#REF!</v>
      </c>
      <c r="L29" s="396"/>
      <c r="M29" s="396"/>
      <c r="N29" s="397" t="e">
        <f t="shared" si="10"/>
        <v>#REF!</v>
      </c>
      <c r="O29" s="330" t="e" cm="1">
        <f t="array" ref="O29">SUMPRODUCT(P29:R29,$P$35:$R$35)-K29</f>
        <v>#REF!</v>
      </c>
      <c r="P29" s="396" t="e">
        <f>(VLOOKUP(P$3,#REF!,11,0)+VLOOKUP(P$3,#REF!,12,0)+VLOOKUP(P$3,#REF!,13,0))*运营工时费报价基准!$E$15</f>
        <v>#REF!</v>
      </c>
      <c r="Q29" s="396" t="e">
        <f>(VLOOKUP(Q$3,#REF!,11,0)+VLOOKUP(Q$3,#REF!,12,0)+VLOOKUP(Q$3,#REF!,13,0))*运营工时费报价基准!$E$15</f>
        <v>#REF!</v>
      </c>
      <c r="R29" s="396" t="e">
        <f>(VLOOKUP(R$3,#REF!,11,0)+VLOOKUP(R$3,#REF!,12,0)+VLOOKUP(R$3,#REF!,13,0))*运营工时费报价基准!$E$15</f>
        <v>#REF!</v>
      </c>
    </row>
    <row r="30" ht="15" customHeight="1" spans="1:18">
      <c r="A30" s="401"/>
      <c r="B30" s="401" t="s">
        <v>50</v>
      </c>
      <c r="C30" s="399" t="s">
        <v>51</v>
      </c>
      <c r="D30" s="402"/>
      <c r="E30" s="395" t="e">
        <f t="shared" si="8"/>
        <v>#REF!</v>
      </c>
      <c r="F30" s="396" t="e">
        <f t="shared" si="12"/>
        <v>#REF!</v>
      </c>
      <c r="G30" s="396" t="e">
        <f t="shared" ref="F30:K30" si="29">G15*0.5%</f>
        <v>#REF!</v>
      </c>
      <c r="H30" s="396" t="e">
        <f t="shared" si="29"/>
        <v>#REF!</v>
      </c>
      <c r="I30" s="396" t="e">
        <f t="shared" si="29"/>
        <v>#REF!</v>
      </c>
      <c r="J30" s="396" t="e">
        <f t="shared" si="29"/>
        <v>#REF!</v>
      </c>
      <c r="K30" s="396" t="e">
        <f t="shared" si="29"/>
        <v>#REF!</v>
      </c>
      <c r="L30" s="396"/>
      <c r="M30" s="396"/>
      <c r="N30" s="397" t="e">
        <f t="shared" si="10"/>
        <v>#REF!</v>
      </c>
      <c r="O30" s="330" t="e" cm="1">
        <f t="array" ref="O30">SUMPRODUCT(P30:R30,$P$35:$R$35)-K30</f>
        <v>#REF!</v>
      </c>
      <c r="P30" s="396" t="e">
        <f>P15*0.5%</f>
        <v>#REF!</v>
      </c>
      <c r="Q30" s="396" t="e">
        <f>Q15*0.5%</f>
        <v>#REF!</v>
      </c>
      <c r="R30" s="396" t="e">
        <f>R15*0.5%</f>
        <v>#REF!</v>
      </c>
    </row>
    <row r="31" ht="15" customHeight="1" spans="1:18">
      <c r="A31" s="379" t="s">
        <v>52</v>
      </c>
      <c r="B31" s="403"/>
      <c r="C31" s="403"/>
      <c r="D31" s="403" t="s">
        <v>53</v>
      </c>
      <c r="E31" s="395" t="e">
        <f t="shared" si="8"/>
        <v>#REF!</v>
      </c>
      <c r="F31" s="396" t="e">
        <f t="shared" si="12"/>
        <v>#REF!</v>
      </c>
      <c r="G31" s="396"/>
      <c r="H31" s="396"/>
      <c r="I31" s="395"/>
      <c r="J31" s="396"/>
      <c r="K31" s="396"/>
      <c r="L31" s="396"/>
      <c r="M31" s="396"/>
      <c r="N31" s="397" t="e">
        <f t="shared" si="10"/>
        <v>#REF!</v>
      </c>
      <c r="O31" s="330" t="e" cm="1">
        <f t="array" ref="O31">SUMPRODUCT(P31:R31,$P$35:$R$35)-K31</f>
        <v>#REF!</v>
      </c>
      <c r="P31" s="396" t="e">
        <f>'研发费用 '!$F$21*P4</f>
        <v>#REF!</v>
      </c>
      <c r="Q31" s="396" t="e">
        <f>'研发费用 '!$F$21*Q4</f>
        <v>#REF!</v>
      </c>
      <c r="R31" s="396" t="e">
        <f>'研发费用 '!$F$21*R4</f>
        <v>#REF!</v>
      </c>
    </row>
    <row r="32" ht="15" customHeight="1" spans="1:18">
      <c r="A32" s="404" t="s">
        <v>54</v>
      </c>
      <c r="B32" s="405"/>
      <c r="C32" s="405"/>
      <c r="D32" s="406" t="s">
        <v>53</v>
      </c>
      <c r="E32" s="407" t="e">
        <f t="shared" si="8"/>
        <v>#REF!</v>
      </c>
      <c r="F32" s="30" t="e">
        <f t="shared" si="12"/>
        <v>#REF!</v>
      </c>
      <c r="G32" s="30" t="e">
        <f t="shared" ref="G32:K32" si="30">F32</f>
        <v>#REF!</v>
      </c>
      <c r="H32" s="30" t="e">
        <f t="shared" si="30"/>
        <v>#REF!</v>
      </c>
      <c r="I32" s="407" t="e">
        <f t="shared" si="30"/>
        <v>#REF!</v>
      </c>
      <c r="J32" s="30" t="e">
        <f t="shared" si="30"/>
        <v>#REF!</v>
      </c>
      <c r="K32" s="30" t="e">
        <f t="shared" si="30"/>
        <v>#REF!</v>
      </c>
      <c r="L32" s="30"/>
      <c r="M32" s="30"/>
      <c r="N32" s="408" t="e">
        <f t="shared" si="10"/>
        <v>#REF!</v>
      </c>
      <c r="O32" s="330" t="e" cm="1">
        <f t="array" ref="O32">SUMPRODUCT(P32:R32,$P$35:$R$35)-K32</f>
        <v>#REF!</v>
      </c>
      <c r="P32" s="30" t="e">
        <f>VLOOKUP(P3,#REF!,12,0)</f>
        <v>#REF!</v>
      </c>
      <c r="Q32" s="30" t="e">
        <f>VLOOKUP(Q3,#REF!,12,0)</f>
        <v>#REF!</v>
      </c>
      <c r="R32" s="30" t="e">
        <f>VLOOKUP(R3,#REF!,12,0)</f>
        <v>#REF!</v>
      </c>
    </row>
    <row r="34" spans="1:18">
      <c r="A34" s="409" t="s">
        <v>55</v>
      </c>
      <c r="B34" s="410"/>
      <c r="C34" s="411"/>
      <c r="E34" s="328" t="e">
        <f>E5/#REF!</f>
        <v>#REF!</v>
      </c>
      <c r="F34" s="412"/>
    </row>
    <row r="35" spans="1:18">
      <c r="A35" s="413" t="s">
        <v>56</v>
      </c>
      <c r="B35" s="413"/>
      <c r="F35" s="412">
        <v>628.39</v>
      </c>
      <c r="G35" s="412">
        <f>F35*34000</f>
        <v>21365260</v>
      </c>
      <c r="H35" s="328" t="e" cm="1">
        <f t="array" ref="H35">SUMPRODUCT(P6:R6,P35:R35)</f>
        <v>#REF!</v>
      </c>
      <c r="N35" s="328" t="s">
        <v>57</v>
      </c>
      <c r="O35" s="330" t="str">
        <f>设备投资明细!N43</f>
        <v>装车比</v>
      </c>
      <c r="P35" s="414">
        <v>1</v>
      </c>
      <c r="Q35" s="414">
        <v>1</v>
      </c>
      <c r="R35" s="414">
        <v>1</v>
      </c>
    </row>
    <row r="36" spans="1:18">
      <c r="A36" s="413" t="s">
        <v>58</v>
      </c>
      <c r="B36" s="413"/>
      <c r="F36" s="412">
        <f>F35-3-9.6</f>
        <v>615.79</v>
      </c>
      <c r="G36" s="412">
        <f>F36*16000</f>
        <v>9852640</v>
      </c>
      <c r="I36" s="328">
        <v>3</v>
      </c>
      <c r="J36" s="328" t="s">
        <v>59</v>
      </c>
      <c r="O36" s="330" t="str">
        <f>设备投资明细!N44</f>
        <v>总量纲</v>
      </c>
      <c r="P36" s="414">
        <f>$E$5</f>
        <v>240000</v>
      </c>
      <c r="Q36" s="414">
        <f>$E$5</f>
        <v>240000</v>
      </c>
      <c r="R36" s="414">
        <f>$E$5</f>
        <v>240000</v>
      </c>
    </row>
    <row r="37" spans="1:18">
      <c r="A37" s="413" t="s">
        <v>60</v>
      </c>
      <c r="B37" s="413"/>
      <c r="G37" s="412">
        <f>G36+G35</f>
        <v>31217900</v>
      </c>
      <c r="I37" s="328">
        <v>9.6</v>
      </c>
      <c r="J37" s="328" t="s">
        <v>61</v>
      </c>
      <c r="O37" s="330" t="str">
        <f>设备投资明细!N45</f>
        <v>数量</v>
      </c>
      <c r="P37" s="414">
        <f>P35*P36</f>
        <v>240000</v>
      </c>
      <c r="Q37" s="414">
        <f>Q35*Q36</f>
        <v>240000</v>
      </c>
      <c r="R37" s="414">
        <f>R35*R36</f>
        <v>240000</v>
      </c>
    </row>
    <row r="38" spans="1:18">
      <c r="A38" s="413"/>
      <c r="B38" s="413"/>
      <c r="G38" s="412">
        <f>G37/54000</f>
        <v>578.109259259259</v>
      </c>
      <c r="I38" s="328" t="e">
        <f>H35+I36+I37</f>
        <v>#REF!</v>
      </c>
    </row>
    <row r="39" spans="1:18">
      <c r="A39" s="328" t="s">
        <v>62</v>
      </c>
      <c r="P39" s="412" t="e">
        <f>P15/P6</f>
        <v>#REF!</v>
      </c>
      <c r="Q39" s="412" t="e">
        <f>Q15/Q6</f>
        <v>#REF!</v>
      </c>
      <c r="R39" s="412" t="e">
        <f>R15/R6</f>
        <v>#REF!</v>
      </c>
    </row>
    <row r="40" spans="1:18">
      <c r="I40" s="328" t="e">
        <f>I38*16000+H35*38000</f>
        <v>#REF!</v>
      </c>
    </row>
    <row r="41" spans="1:18">
      <c r="A41" s="412"/>
      <c r="I41" s="412" t="e">
        <f>I40/G5</f>
        <v>#REF!</v>
      </c>
    </row>
    <row r="42" spans="1:18">
      <c r="P42" s="412" t="e" cm="1">
        <f t="array" ref="P42">SUMPRODUCT(P6:R6,_xlfn.ANCHORARRAY(P35))</f>
        <v>#REF!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2:R22"/>
  <sheetViews>
    <sheetView showGridLines="0" topLeftCell="B1" workbookViewId="0">
      <selection activeCell="N24" sqref="N24"/>
    </sheetView>
  </sheetViews>
  <sheetFormatPr defaultColWidth="8.89166666666667" defaultRowHeight="14.25"/>
  <cols>
    <col min="1" max="1" width="2.10833333333333" customWidth="1"/>
    <col min="2" max="2" width="20.4416666666667" customWidth="1"/>
    <col min="3" max="3" width="26.4416666666667" customWidth="1"/>
    <col min="4" max="4" width="7.89166666666667" customWidth="1"/>
    <col min="5" max="5" width="8.89166666666667" customWidth="1"/>
    <col min="6" max="6" width="8.225" customWidth="1"/>
    <col min="7" max="10" width="11.6666666666667" customWidth="1"/>
    <col min="11" max="11" width="11.6666666666667" style="299" customWidth="1"/>
    <col min="12" max="18" width="11.6666666666667" customWidth="1"/>
  </cols>
  <sheetData>
    <row r="2" spans="2:18">
      <c r="B2" s="300" t="s">
        <v>63</v>
      </c>
      <c r="C2" s="300" t="s">
        <v>64</v>
      </c>
      <c r="D2" s="300" t="s">
        <v>65</v>
      </c>
      <c r="E2" s="300" t="s">
        <v>66</v>
      </c>
      <c r="F2" s="300" t="s">
        <v>67</v>
      </c>
      <c r="G2" s="301" t="s">
        <v>68</v>
      </c>
      <c r="H2" s="301" t="s">
        <v>69</v>
      </c>
      <c r="I2" s="300" t="s">
        <v>70</v>
      </c>
      <c r="J2" s="302" t="s">
        <v>71</v>
      </c>
      <c r="K2" s="303" t="s">
        <v>72</v>
      </c>
      <c r="L2" s="304" t="s">
        <v>73</v>
      </c>
      <c r="M2" s="301" t="s">
        <v>74</v>
      </c>
      <c r="N2" s="304" t="s">
        <v>75</v>
      </c>
      <c r="O2" s="300" t="s">
        <v>76</v>
      </c>
      <c r="P2" s="305" t="s">
        <v>77</v>
      </c>
      <c r="Q2" s="305" t="s">
        <v>78</v>
      </c>
      <c r="R2" s="300" t="s">
        <v>79</v>
      </c>
    </row>
    <row r="3" ht="21" customHeight="1" spans="2:18">
      <c r="B3" s="300"/>
      <c r="C3" s="300" t="s">
        <v>80</v>
      </c>
      <c r="D3" s="300" t="s">
        <v>81</v>
      </c>
      <c r="E3" s="300" t="s">
        <v>66</v>
      </c>
      <c r="F3" s="300"/>
      <c r="G3" s="304"/>
      <c r="H3" s="304"/>
      <c r="I3" s="300"/>
      <c r="J3" s="300"/>
      <c r="K3" s="305"/>
      <c r="L3" s="304"/>
      <c r="M3" s="304"/>
      <c r="N3" s="304"/>
      <c r="O3" s="300"/>
      <c r="P3" s="305"/>
      <c r="Q3" s="305"/>
      <c r="R3" s="300"/>
    </row>
    <row r="4" ht="16.5" spans="2:18">
      <c r="B4" s="306" t="e">
        <f>#REF!</f>
        <v>#REF!</v>
      </c>
      <c r="C4" s="306" t="e">
        <f>#REF!</f>
        <v>#REF!</v>
      </c>
      <c r="D4" s="307" t="e">
        <f>#REF!</f>
        <v>#REF!</v>
      </c>
      <c r="E4" s="308" t="e">
        <f>#REF!</f>
        <v>#REF!</v>
      </c>
      <c r="F4" s="308" t="e">
        <f>#REF!</f>
        <v>#REF!</v>
      </c>
      <c r="G4" s="309" t="e">
        <f>#REF!</f>
        <v>#REF!</v>
      </c>
      <c r="H4" s="309" t="e">
        <f>G4*1%</f>
        <v>#REF!</v>
      </c>
      <c r="I4" s="310" t="e">
        <f>#REF!+#REF!</f>
        <v>#REF!</v>
      </c>
      <c r="J4" s="310" t="e">
        <f>I4*35</f>
        <v>#REF!</v>
      </c>
      <c r="K4" s="310" t="e">
        <f>$K$20*I4</f>
        <v>#REF!</v>
      </c>
      <c r="L4" s="311" t="e">
        <f>K4+J4</f>
        <v>#REF!</v>
      </c>
      <c r="M4" s="312" t="e">
        <f>(G4+L4)*6%</f>
        <v>#REF!</v>
      </c>
      <c r="N4" s="312" t="e">
        <f>(L4+H4+G4)*6%</f>
        <v>#REF!</v>
      </c>
      <c r="O4" s="310" t="e">
        <f>N4+M4+L4+G4+H4</f>
        <v>#REF!</v>
      </c>
      <c r="P4" s="310" t="e">
        <f>#REF!+#REF!</f>
        <v>#REF!</v>
      </c>
      <c r="Q4" s="310" t="e">
        <f>#REF!+#REF!+#REF!</f>
        <v>#REF!</v>
      </c>
      <c r="R4" s="310" t="e">
        <f>Q4+P4+O4</f>
        <v>#REF!</v>
      </c>
    </row>
    <row r="5" ht="16.5" spans="2:18">
      <c r="B5" s="313" t="e">
        <f>#REF!</f>
        <v>#REF!</v>
      </c>
      <c r="C5" s="313" t="e">
        <f>#REF!</f>
        <v>#REF!</v>
      </c>
      <c r="D5" s="314" t="e">
        <f>#REF!</f>
        <v>#REF!</v>
      </c>
      <c r="E5" s="315" t="e">
        <f>#REF!</f>
        <v>#REF!</v>
      </c>
      <c r="F5" s="315" t="e">
        <f>#REF!</f>
        <v>#REF!</v>
      </c>
      <c r="G5" s="312" t="e">
        <f>#REF!</f>
        <v>#REF!</v>
      </c>
      <c r="H5" s="312" t="e">
        <f t="shared" ref="H5:H14" si="0">G5*1%</f>
        <v>#REF!</v>
      </c>
      <c r="I5" s="316" t="e">
        <f>#REF!+#REF!</f>
        <v>#REF!</v>
      </c>
      <c r="J5" s="316" t="e">
        <f t="shared" ref="J5:J14" si="1">I5*35</f>
        <v>#REF!</v>
      </c>
      <c r="K5" s="316" t="e">
        <f t="shared" ref="K5:K14" si="2">$K$20*I5</f>
        <v>#REF!</v>
      </c>
      <c r="L5" s="317" t="e">
        <f t="shared" ref="L5:L14" si="3">K5+J5</f>
        <v>#REF!</v>
      </c>
      <c r="M5" s="312" t="e">
        <f t="shared" ref="M5:M14" si="4">(G5+L5)*6%</f>
        <v>#REF!</v>
      </c>
      <c r="N5" s="312" t="e">
        <f t="shared" ref="N5:N14" si="5">(L5+H5+G5)*6%</f>
        <v>#REF!</v>
      </c>
      <c r="O5" s="318" t="e">
        <f t="shared" ref="O5:O14" si="6">N5+M5+L5+G5+H5</f>
        <v>#REF!</v>
      </c>
      <c r="P5" s="316" t="e">
        <f>#REF!+#REF!</f>
        <v>#REF!</v>
      </c>
      <c r="Q5" s="316" t="e">
        <f>#REF!+#REF!+#REF!</f>
        <v>#REF!</v>
      </c>
      <c r="R5" s="318" t="e">
        <f t="shared" ref="R5:R14" si="7">Q5+P5+O5</f>
        <v>#REF!</v>
      </c>
    </row>
    <row r="6" ht="16.5" spans="2:18">
      <c r="B6" s="313" t="e">
        <f>#REF!</f>
        <v>#REF!</v>
      </c>
      <c r="C6" s="313" t="e">
        <f>#REF!</f>
        <v>#REF!</v>
      </c>
      <c r="D6" s="314" t="e">
        <f>#REF!</f>
        <v>#REF!</v>
      </c>
      <c r="E6" s="319" t="e">
        <f>#REF!</f>
        <v>#REF!</v>
      </c>
      <c r="F6" s="319" t="e">
        <f>#REF!</f>
        <v>#REF!</v>
      </c>
      <c r="G6" s="320" t="e">
        <f>#REF!</f>
        <v>#REF!</v>
      </c>
      <c r="H6" s="320" t="e">
        <f t="shared" si="0"/>
        <v>#REF!</v>
      </c>
      <c r="I6" s="318" t="e">
        <f>#REF!+#REF!</f>
        <v>#REF!</v>
      </c>
      <c r="J6" s="318" t="e">
        <f t="shared" si="1"/>
        <v>#REF!</v>
      </c>
      <c r="K6" s="318" t="e">
        <f t="shared" si="2"/>
        <v>#REF!</v>
      </c>
      <c r="L6" s="317" t="e">
        <f t="shared" si="3"/>
        <v>#REF!</v>
      </c>
      <c r="M6" s="312" t="e">
        <f t="shared" si="4"/>
        <v>#REF!</v>
      </c>
      <c r="N6" s="312" t="e">
        <f t="shared" si="5"/>
        <v>#REF!</v>
      </c>
      <c r="O6" s="318" t="e">
        <f t="shared" si="6"/>
        <v>#REF!</v>
      </c>
      <c r="P6" s="318" t="e">
        <f>#REF!+#REF!</f>
        <v>#REF!</v>
      </c>
      <c r="Q6" s="318" t="e">
        <f>#REF!+#REF!+#REF!</f>
        <v>#REF!</v>
      </c>
      <c r="R6" s="318" t="e">
        <f t="shared" si="7"/>
        <v>#REF!</v>
      </c>
    </row>
    <row r="7" ht="16.5" spans="2:18">
      <c r="B7" s="313" t="e">
        <f>#REF!</f>
        <v>#REF!</v>
      </c>
      <c r="C7" s="313" t="e">
        <f>#REF!</f>
        <v>#REF!</v>
      </c>
      <c r="D7" s="314" t="e">
        <f>#REF!</f>
        <v>#REF!</v>
      </c>
      <c r="E7" s="319" t="e">
        <f>#REF!</f>
        <v>#REF!</v>
      </c>
      <c r="F7" s="319" t="e">
        <f>#REF!</f>
        <v>#REF!</v>
      </c>
      <c r="G7" s="320" t="e">
        <f>#REF!</f>
        <v>#REF!</v>
      </c>
      <c r="H7" s="320" t="e">
        <f t="shared" si="0"/>
        <v>#REF!</v>
      </c>
      <c r="I7" s="318" t="e">
        <f>#REF!+#REF!</f>
        <v>#REF!</v>
      </c>
      <c r="J7" s="318" t="e">
        <f t="shared" si="1"/>
        <v>#REF!</v>
      </c>
      <c r="K7" s="318" t="e">
        <f t="shared" si="2"/>
        <v>#REF!</v>
      </c>
      <c r="L7" s="317" t="e">
        <f t="shared" si="3"/>
        <v>#REF!</v>
      </c>
      <c r="M7" s="312" t="e">
        <f t="shared" si="4"/>
        <v>#REF!</v>
      </c>
      <c r="N7" s="312" t="e">
        <f t="shared" si="5"/>
        <v>#REF!</v>
      </c>
      <c r="O7" s="318" t="e">
        <f t="shared" si="6"/>
        <v>#REF!</v>
      </c>
      <c r="P7" s="318" t="e">
        <f>#REF!+#REF!</f>
        <v>#REF!</v>
      </c>
      <c r="Q7" s="318" t="e">
        <f>#REF!+#REF!+#REF!</f>
        <v>#REF!</v>
      </c>
      <c r="R7" s="318" t="e">
        <f t="shared" si="7"/>
        <v>#REF!</v>
      </c>
    </row>
    <row r="8" ht="16.5" spans="2:18">
      <c r="B8" s="313" t="e">
        <f>#REF!</f>
        <v>#REF!</v>
      </c>
      <c r="C8" s="313" t="e">
        <f>#REF!</f>
        <v>#REF!</v>
      </c>
      <c r="D8" s="314" t="e">
        <f>#REF!</f>
        <v>#REF!</v>
      </c>
      <c r="E8" s="319" t="e">
        <f>#REF!</f>
        <v>#REF!</v>
      </c>
      <c r="F8" s="319" t="e">
        <f>#REF!</f>
        <v>#REF!</v>
      </c>
      <c r="G8" s="320" t="e">
        <f>#REF!</f>
        <v>#REF!</v>
      </c>
      <c r="H8" s="320" t="e">
        <f t="shared" si="0"/>
        <v>#REF!</v>
      </c>
      <c r="I8" s="318" t="e">
        <f>#REF!+#REF!</f>
        <v>#REF!</v>
      </c>
      <c r="J8" s="318" t="e">
        <f t="shared" si="1"/>
        <v>#REF!</v>
      </c>
      <c r="K8" s="318" t="e">
        <f t="shared" si="2"/>
        <v>#REF!</v>
      </c>
      <c r="L8" s="317" t="e">
        <f t="shared" si="3"/>
        <v>#REF!</v>
      </c>
      <c r="M8" s="312" t="e">
        <f t="shared" si="4"/>
        <v>#REF!</v>
      </c>
      <c r="N8" s="312" t="e">
        <f t="shared" si="5"/>
        <v>#REF!</v>
      </c>
      <c r="O8" s="318" t="e">
        <f t="shared" si="6"/>
        <v>#REF!</v>
      </c>
      <c r="P8" s="318" t="e">
        <f>#REF!+#REF!</f>
        <v>#REF!</v>
      </c>
      <c r="Q8" s="318" t="e">
        <f>#REF!+#REF!+#REF!</f>
        <v>#REF!</v>
      </c>
      <c r="R8" s="318" t="e">
        <f t="shared" si="7"/>
        <v>#REF!</v>
      </c>
    </row>
    <row r="9" ht="16.5" spans="2:18">
      <c r="B9" s="313" t="e">
        <f>#REF!</f>
        <v>#REF!</v>
      </c>
      <c r="C9" s="313" t="e">
        <f>#REF!</f>
        <v>#REF!</v>
      </c>
      <c r="D9" s="314" t="e">
        <f>#REF!</f>
        <v>#REF!</v>
      </c>
      <c r="E9" s="319" t="e">
        <f>#REF!</f>
        <v>#REF!</v>
      </c>
      <c r="F9" s="319" t="e">
        <f>#REF!</f>
        <v>#REF!</v>
      </c>
      <c r="G9" s="320" t="e">
        <f>#REF!</f>
        <v>#REF!</v>
      </c>
      <c r="H9" s="320" t="e">
        <f t="shared" si="0"/>
        <v>#REF!</v>
      </c>
      <c r="I9" s="318" t="e">
        <f>#REF!+#REF!</f>
        <v>#REF!</v>
      </c>
      <c r="J9" s="318" t="e">
        <f t="shared" si="1"/>
        <v>#REF!</v>
      </c>
      <c r="K9" s="318" t="e">
        <f t="shared" si="2"/>
        <v>#REF!</v>
      </c>
      <c r="L9" s="317" t="e">
        <f t="shared" si="3"/>
        <v>#REF!</v>
      </c>
      <c r="M9" s="312" t="e">
        <f t="shared" si="4"/>
        <v>#REF!</v>
      </c>
      <c r="N9" s="312" t="e">
        <f t="shared" si="5"/>
        <v>#REF!</v>
      </c>
      <c r="O9" s="318" t="e">
        <f t="shared" si="6"/>
        <v>#REF!</v>
      </c>
      <c r="P9" s="318" t="e">
        <f>#REF!+#REF!</f>
        <v>#REF!</v>
      </c>
      <c r="Q9" s="318" t="e">
        <f>#REF!+#REF!+#REF!</f>
        <v>#REF!</v>
      </c>
      <c r="R9" s="318" t="e">
        <f t="shared" si="7"/>
        <v>#REF!</v>
      </c>
    </row>
    <row r="10" ht="16.5" spans="2:18">
      <c r="B10" s="313" t="e">
        <f>#REF!</f>
        <v>#REF!</v>
      </c>
      <c r="C10" s="313" t="e">
        <f>#REF!</f>
        <v>#REF!</v>
      </c>
      <c r="D10" s="314" t="e">
        <f>#REF!</f>
        <v>#REF!</v>
      </c>
      <c r="E10" s="319" t="e">
        <f>#REF!</f>
        <v>#REF!</v>
      </c>
      <c r="F10" s="319" t="e">
        <f>#REF!</f>
        <v>#REF!</v>
      </c>
      <c r="G10" s="320" t="e">
        <f>#REF!</f>
        <v>#REF!</v>
      </c>
      <c r="H10" s="320" t="e">
        <f t="shared" si="0"/>
        <v>#REF!</v>
      </c>
      <c r="I10" s="318" t="e">
        <f>#REF!+#REF!</f>
        <v>#REF!</v>
      </c>
      <c r="J10" s="318" t="e">
        <f t="shared" si="1"/>
        <v>#REF!</v>
      </c>
      <c r="K10" s="318" t="e">
        <f t="shared" si="2"/>
        <v>#REF!</v>
      </c>
      <c r="L10" s="317" t="e">
        <f t="shared" si="3"/>
        <v>#REF!</v>
      </c>
      <c r="M10" s="312" t="e">
        <f t="shared" si="4"/>
        <v>#REF!</v>
      </c>
      <c r="N10" s="312" t="e">
        <f t="shared" si="5"/>
        <v>#REF!</v>
      </c>
      <c r="O10" s="318" t="e">
        <f t="shared" si="6"/>
        <v>#REF!</v>
      </c>
      <c r="P10" s="318" t="e">
        <f>#REF!+#REF!</f>
        <v>#REF!</v>
      </c>
      <c r="Q10" s="318" t="e">
        <f>#REF!+#REF!+#REF!</f>
        <v>#REF!</v>
      </c>
      <c r="R10" s="318" t="e">
        <f t="shared" si="7"/>
        <v>#REF!</v>
      </c>
    </row>
    <row r="11" ht="16.5" spans="2:18">
      <c r="B11" s="313" t="e">
        <f>#REF!</f>
        <v>#REF!</v>
      </c>
      <c r="C11" s="313" t="e">
        <f>#REF!</f>
        <v>#REF!</v>
      </c>
      <c r="D11" s="314" t="e">
        <f>#REF!</f>
        <v>#REF!</v>
      </c>
      <c r="E11" s="319" t="e">
        <f>#REF!</f>
        <v>#REF!</v>
      </c>
      <c r="F11" s="319" t="e">
        <f>#REF!</f>
        <v>#REF!</v>
      </c>
      <c r="G11" s="320" t="e">
        <f>#REF!</f>
        <v>#REF!</v>
      </c>
      <c r="H11" s="320" t="e">
        <f t="shared" si="0"/>
        <v>#REF!</v>
      </c>
      <c r="I11" s="318" t="e">
        <f>#REF!+#REF!</f>
        <v>#REF!</v>
      </c>
      <c r="J11" s="318" t="e">
        <f t="shared" si="1"/>
        <v>#REF!</v>
      </c>
      <c r="K11" s="318" t="e">
        <f t="shared" si="2"/>
        <v>#REF!</v>
      </c>
      <c r="L11" s="317" t="e">
        <f t="shared" si="3"/>
        <v>#REF!</v>
      </c>
      <c r="M11" s="312" t="e">
        <f t="shared" si="4"/>
        <v>#REF!</v>
      </c>
      <c r="N11" s="312" t="e">
        <f t="shared" si="5"/>
        <v>#REF!</v>
      </c>
      <c r="O11" s="318" t="e">
        <f t="shared" si="6"/>
        <v>#REF!</v>
      </c>
      <c r="P11" s="318" t="e">
        <f>#REF!+#REF!</f>
        <v>#REF!</v>
      </c>
      <c r="Q11" s="318" t="e">
        <f>#REF!+#REF!+#REF!</f>
        <v>#REF!</v>
      </c>
      <c r="R11" s="318" t="e">
        <f t="shared" si="7"/>
        <v>#REF!</v>
      </c>
    </row>
    <row r="12" ht="16.5" spans="2:18">
      <c r="B12" s="321" t="e">
        <f>#REF!</f>
        <v>#REF!</v>
      </c>
      <c r="C12" s="322" t="e">
        <f>#REF!</f>
        <v>#REF!</v>
      </c>
      <c r="D12" s="319" t="e">
        <f>#REF!</f>
        <v>#REF!</v>
      </c>
      <c r="E12" s="319" t="e">
        <f>#REF!</f>
        <v>#REF!</v>
      </c>
      <c r="F12" s="319" t="e">
        <f>#REF!</f>
        <v>#REF!</v>
      </c>
      <c r="G12" s="320" t="e">
        <f>#REF!</f>
        <v>#REF!</v>
      </c>
      <c r="H12" s="320" t="e">
        <f t="shared" si="0"/>
        <v>#REF!</v>
      </c>
      <c r="I12" s="318" t="e">
        <f>#REF!+#REF!</f>
        <v>#REF!</v>
      </c>
      <c r="J12" s="318" t="e">
        <f t="shared" si="1"/>
        <v>#REF!</v>
      </c>
      <c r="K12" s="318" t="e">
        <f t="shared" si="2"/>
        <v>#REF!</v>
      </c>
      <c r="L12" s="317" t="e">
        <f t="shared" si="3"/>
        <v>#REF!</v>
      </c>
      <c r="M12" s="312" t="e">
        <f t="shared" si="4"/>
        <v>#REF!</v>
      </c>
      <c r="N12" s="312" t="e">
        <f t="shared" si="5"/>
        <v>#REF!</v>
      </c>
      <c r="O12" s="318" t="e">
        <f t="shared" si="6"/>
        <v>#REF!</v>
      </c>
      <c r="P12" s="318" t="e">
        <f>#REF!+#REF!</f>
        <v>#REF!</v>
      </c>
      <c r="Q12" s="318" t="e">
        <f>#REF!+#REF!+#REF!</f>
        <v>#REF!</v>
      </c>
      <c r="R12" s="318" t="e">
        <f t="shared" si="7"/>
        <v>#REF!</v>
      </c>
    </row>
    <row r="13" ht="16.5" spans="2:18">
      <c r="B13" s="321" t="e">
        <f>#REF!</f>
        <v>#REF!</v>
      </c>
      <c r="C13" s="322" t="e">
        <f>#REF!</f>
        <v>#REF!</v>
      </c>
      <c r="D13" s="319" t="e">
        <f>#REF!</f>
        <v>#REF!</v>
      </c>
      <c r="E13" s="319" t="e">
        <f>#REF!</f>
        <v>#REF!</v>
      </c>
      <c r="F13" s="319" t="e">
        <f>#REF!</f>
        <v>#REF!</v>
      </c>
      <c r="G13" s="320" t="e">
        <f>#REF!</f>
        <v>#REF!</v>
      </c>
      <c r="H13" s="320" t="e">
        <f t="shared" si="0"/>
        <v>#REF!</v>
      </c>
      <c r="I13" s="318" t="e">
        <f>#REF!+#REF!</f>
        <v>#REF!</v>
      </c>
      <c r="J13" s="318" t="e">
        <f t="shared" si="1"/>
        <v>#REF!</v>
      </c>
      <c r="K13" s="318" t="e">
        <f t="shared" si="2"/>
        <v>#REF!</v>
      </c>
      <c r="L13" s="317" t="e">
        <f t="shared" si="3"/>
        <v>#REF!</v>
      </c>
      <c r="M13" s="312" t="e">
        <f t="shared" si="4"/>
        <v>#REF!</v>
      </c>
      <c r="N13" s="312" t="e">
        <f t="shared" si="5"/>
        <v>#REF!</v>
      </c>
      <c r="O13" s="318" t="e">
        <f t="shared" si="6"/>
        <v>#REF!</v>
      </c>
      <c r="P13" s="318" t="e">
        <f>#REF!+#REF!</f>
        <v>#REF!</v>
      </c>
      <c r="Q13" s="318" t="e">
        <f>#REF!+#REF!+#REF!</f>
        <v>#REF!</v>
      </c>
      <c r="R13" s="318" t="e">
        <f t="shared" si="7"/>
        <v>#REF!</v>
      </c>
    </row>
    <row r="14" ht="16.5" spans="2:18">
      <c r="B14" s="321" t="e">
        <f>#REF!</f>
        <v>#REF!</v>
      </c>
      <c r="C14" s="322" t="e">
        <f>#REF!</f>
        <v>#REF!</v>
      </c>
      <c r="D14" s="319" t="e">
        <f>#REF!</f>
        <v>#REF!</v>
      </c>
      <c r="E14" s="319" t="e">
        <f>#REF!</f>
        <v>#REF!</v>
      </c>
      <c r="F14" s="319" t="e">
        <f>#REF!</f>
        <v>#REF!</v>
      </c>
      <c r="G14" s="320" t="e">
        <f>#REF!</f>
        <v>#REF!</v>
      </c>
      <c r="H14" s="320" t="e">
        <f t="shared" si="0"/>
        <v>#REF!</v>
      </c>
      <c r="I14" s="318" t="e">
        <f>#REF!+#REF!</f>
        <v>#REF!</v>
      </c>
      <c r="J14" s="318" t="e">
        <f t="shared" si="1"/>
        <v>#REF!</v>
      </c>
      <c r="K14" s="318" t="e">
        <f t="shared" si="2"/>
        <v>#REF!</v>
      </c>
      <c r="L14" s="317" t="e">
        <f t="shared" si="3"/>
        <v>#REF!</v>
      </c>
      <c r="M14" s="312" t="e">
        <f t="shared" si="4"/>
        <v>#REF!</v>
      </c>
      <c r="N14" s="312" t="e">
        <f t="shared" si="5"/>
        <v>#REF!</v>
      </c>
      <c r="O14" s="318" t="e">
        <f t="shared" si="6"/>
        <v>#REF!</v>
      </c>
      <c r="P14" s="318" t="e">
        <f>#REF!+#REF!</f>
        <v>#REF!</v>
      </c>
      <c r="Q14" s="318" t="e">
        <f>#REF!+#REF!+#REF!</f>
        <v>#REF!</v>
      </c>
      <c r="R14" s="318" t="e">
        <f t="shared" si="7"/>
        <v>#REF!</v>
      </c>
    </row>
    <row r="15" ht="16.5" spans="2:18">
      <c r="B15" s="300"/>
      <c r="C15" s="300"/>
      <c r="D15" s="300"/>
      <c r="E15" s="323"/>
      <c r="F15" s="323"/>
      <c r="G15" s="324"/>
      <c r="H15" s="324"/>
      <c r="I15" s="323"/>
      <c r="J15" s="323"/>
      <c r="K15" s="323"/>
      <c r="L15" s="324"/>
      <c r="M15" s="324"/>
      <c r="N15" s="324"/>
      <c r="O15" s="323"/>
      <c r="P15" s="323"/>
      <c r="Q15" s="323"/>
      <c r="R15" s="323"/>
    </row>
    <row r="17" ht="16.5" spans="2:18">
      <c r="B17" s="300" t="s">
        <v>82</v>
      </c>
      <c r="C17" s="300"/>
      <c r="D17" s="300"/>
      <c r="E17" s="323" t="e" cm="1">
        <f t="array" ref="E17">SUMPRODUCT($D$4:$D$14,E4:E14)</f>
        <v>#REF!</v>
      </c>
      <c r="F17" s="323" t="e" cm="1">
        <f t="array" ref="F17">SUMPRODUCT($D$4:$D$14,F4:F14)</f>
        <v>#REF!</v>
      </c>
      <c r="G17" s="323" t="e" cm="1">
        <f t="array" ref="G17">SUMPRODUCT($D$4:$D$14,G4:G14)</f>
        <v>#REF!</v>
      </c>
      <c r="H17" s="323" t="e">
        <f t="array" ref="H17">SUMPRODUCT($D$4:$D$14,H4:H14)</f>
        <v>#REF!</v>
      </c>
      <c r="I17" s="323" t="e">
        <f t="array" ref="I17">SUMPRODUCT($D$4:$D$14,I4:I14)</f>
        <v>#REF!</v>
      </c>
      <c r="J17" s="323" t="e">
        <f t="array" ref="J17">SUMPRODUCT($D$4:$D$14,J4:J14)</f>
        <v>#REF!</v>
      </c>
      <c r="K17" s="323" t="e">
        <f t="array" ref="K17">SUMPRODUCT($D$4:$D$14,K4:K14)</f>
        <v>#REF!</v>
      </c>
      <c r="L17" s="323" t="e" cm="1">
        <f t="array" ref="L17">SUMPRODUCT($D$4:$D$14,L4:L14)</f>
        <v>#REF!</v>
      </c>
      <c r="M17" s="323" t="e">
        <f t="array" ref="M17">SUMPRODUCT($D$4:$D$14,M4:M14)</f>
        <v>#REF!</v>
      </c>
      <c r="N17" s="323" t="e" cm="1">
        <f t="array" ref="N17">SUMPRODUCT($D$4:$D$14,N4:N14)</f>
        <v>#REF!</v>
      </c>
      <c r="O17" s="323" t="e" cm="1">
        <f t="array" ref="O17">SUMPRODUCT($D$4:$D$14,O4:O14)</f>
        <v>#REF!</v>
      </c>
      <c r="P17" s="323" t="e">
        <f t="array" ref="P17">SUMPRODUCT($D$4:$D$14,P4:P14)</f>
        <v>#REF!</v>
      </c>
      <c r="Q17" s="323" t="e">
        <f t="array" ref="Q17">SUMPRODUCT($D$4:$D$14,Q4:Q14)</f>
        <v>#REF!</v>
      </c>
      <c r="R17" s="325" t="e">
        <f t="array" ref="R17">SUMPRODUCT($D$4:$D$14,R4:R14)</f>
        <v>#REF!</v>
      </c>
    </row>
    <row r="19" hidden="1" spans="2:18">
      <c r="R19" s="326" t="e">
        <f>#REF!</f>
        <v>#REF!</v>
      </c>
    </row>
    <row r="20" hidden="1" spans="2:18">
      <c r="K20" s="327">
        <f>37.36-1.25+0.27+11.52-1.38+0.17</f>
        <v>46.69</v>
      </c>
    </row>
    <row r="21" hidden="1"/>
    <row r="22" hidden="1"/>
  </sheetData>
  <mergeCells count="17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0"/>
  <sheetViews>
    <sheetView showGridLines="0" workbookViewId="0">
      <selection activeCell="N10" sqref="N10"/>
    </sheetView>
  </sheetViews>
  <sheetFormatPr defaultColWidth="9" defaultRowHeight="14.25"/>
  <cols>
    <col min="1" max="1" width="2.55833333333333" customWidth="1"/>
    <col min="2" max="2" width="16" customWidth="1"/>
    <col min="3" max="3" width="23.1083333333333" customWidth="1"/>
    <col min="4" max="10" width="10.775" customWidth="1"/>
  </cols>
  <sheetData>
    <row r="2" ht="16.5" spans="2:13">
      <c r="B2" s="266" t="s">
        <v>83</v>
      </c>
      <c r="C2" s="266"/>
      <c r="D2" s="267"/>
      <c r="E2" s="267"/>
      <c r="F2" s="267"/>
      <c r="G2" s="267"/>
      <c r="H2" s="267"/>
      <c r="I2" s="267"/>
    </row>
    <row r="3" ht="17.25" spans="2:13">
      <c r="B3" s="268"/>
      <c r="C3" s="268"/>
      <c r="D3" s="267"/>
      <c r="E3" s="267"/>
      <c r="F3" s="267"/>
      <c r="G3" s="267"/>
      <c r="H3" s="267"/>
      <c r="I3" s="267"/>
    </row>
    <row r="4" ht="24" customHeight="1" spans="2:13">
      <c r="B4" s="269" t="s">
        <v>84</v>
      </c>
      <c r="C4" s="269"/>
      <c r="D4" s="269" t="s">
        <v>85</v>
      </c>
      <c r="E4" s="269" t="s">
        <v>86</v>
      </c>
      <c r="F4" s="269" t="s">
        <v>87</v>
      </c>
      <c r="G4" s="269" t="s">
        <v>88</v>
      </c>
      <c r="H4" s="270" t="s">
        <v>89</v>
      </c>
      <c r="I4" s="270" t="s">
        <v>90</v>
      </c>
      <c r="J4" s="269" t="s">
        <v>91</v>
      </c>
    </row>
    <row r="5" ht="25.95" customHeight="1" spans="2:13">
      <c r="B5" s="271" t="s">
        <v>92</v>
      </c>
      <c r="C5" s="272"/>
      <c r="D5" s="273">
        <v>28.6068525767252</v>
      </c>
      <c r="E5" s="274">
        <f>E8</f>
        <v>26.272887050439</v>
      </c>
      <c r="F5" s="275">
        <v>26.7671595236082</v>
      </c>
      <c r="G5" s="274">
        <v>28.1694276892053</v>
      </c>
      <c r="H5" s="274">
        <v>31.1767952121042</v>
      </c>
      <c r="I5" s="274">
        <v>32.03439728214</v>
      </c>
      <c r="J5" s="274">
        <v>27.7117457310889</v>
      </c>
      <c r="L5" s="276" t="s">
        <v>93</v>
      </c>
      <c r="M5" s="277">
        <f>工厂效率!D17</f>
        <v>0.9</v>
      </c>
    </row>
    <row r="6" ht="25.95" customHeight="1" spans="2:13">
      <c r="B6" s="278"/>
      <c r="C6" s="279" t="s">
        <v>94</v>
      </c>
      <c r="D6" s="280">
        <v>30.1984480585632</v>
      </c>
      <c r="E6" s="281"/>
      <c r="F6" s="282"/>
      <c r="G6" s="280">
        <v>28.0289708714664</v>
      </c>
      <c r="H6" s="280">
        <v>34.1954734894422</v>
      </c>
      <c r="I6" s="280"/>
      <c r="J6" s="280"/>
    </row>
    <row r="7" ht="25.95" customHeight="1" spans="2:13">
      <c r="B7" s="283"/>
      <c r="C7" s="284" t="s">
        <v>95</v>
      </c>
      <c r="D7" s="285">
        <v>28.1883278081343</v>
      </c>
      <c r="E7" s="286"/>
      <c r="F7" s="287"/>
      <c r="G7" s="285">
        <v>27.6624168477273</v>
      </c>
      <c r="H7" s="285">
        <v>30.8663014211727</v>
      </c>
      <c r="I7" s="285"/>
      <c r="J7" s="285"/>
    </row>
    <row r="8" ht="25.95" customHeight="1" spans="2:13">
      <c r="B8" s="283"/>
      <c r="C8" s="284" t="s">
        <v>96</v>
      </c>
      <c r="D8" s="285">
        <v>28.5800815956816</v>
      </c>
      <c r="E8" s="285">
        <v>26.272887050439</v>
      </c>
      <c r="F8" s="285">
        <v>26.7671595236082</v>
      </c>
      <c r="G8" s="285">
        <v>32.8565110734101</v>
      </c>
      <c r="H8" s="285">
        <v>31.0387007579718</v>
      </c>
      <c r="I8" s="285">
        <v>32.03439728214</v>
      </c>
      <c r="J8" s="285">
        <v>27.7117457310889</v>
      </c>
    </row>
    <row r="9" ht="25.95" customHeight="1" spans="2:13">
      <c r="B9" s="288" t="s">
        <v>97</v>
      </c>
      <c r="C9" s="272"/>
      <c r="D9" s="273" t="s">
        <v>98</v>
      </c>
      <c r="E9" s="273" t="s">
        <v>99</v>
      </c>
      <c r="F9" s="273" t="s">
        <v>100</v>
      </c>
      <c r="G9" s="273" t="s">
        <v>101</v>
      </c>
      <c r="H9" s="273" t="s">
        <v>102</v>
      </c>
      <c r="I9" s="273" t="s">
        <v>103</v>
      </c>
      <c r="J9" s="273" t="s">
        <v>104</v>
      </c>
    </row>
    <row r="10" ht="25.95" customHeight="1" spans="2:13">
      <c r="B10" s="289"/>
      <c r="C10" s="279" t="s">
        <v>105</v>
      </c>
      <c r="D10" s="280">
        <v>8.49907877266438</v>
      </c>
      <c r="E10" s="280">
        <v>6.47401490294886</v>
      </c>
      <c r="F10" s="290" t="s">
        <v>106</v>
      </c>
      <c r="G10" s="280">
        <v>10.3938056083801</v>
      </c>
      <c r="H10" s="280">
        <v>9.74878301876636</v>
      </c>
      <c r="I10" s="280">
        <v>11.1627841545659</v>
      </c>
      <c r="J10" s="280">
        <v>8.81607372723373</v>
      </c>
    </row>
    <row r="11" ht="25.95" customHeight="1" spans="2:13">
      <c r="B11" s="289"/>
      <c r="C11" s="284" t="s">
        <v>107</v>
      </c>
      <c r="D11" s="285">
        <v>0.876354067804185</v>
      </c>
      <c r="E11" s="285">
        <v>0.510203536767451</v>
      </c>
      <c r="F11" s="285">
        <v>0.411507027034588</v>
      </c>
      <c r="G11" s="285">
        <v>0.795221469932642</v>
      </c>
      <c r="H11" s="285">
        <v>2.13033946220412</v>
      </c>
      <c r="I11" s="285">
        <v>2.80806117023651</v>
      </c>
      <c r="J11" s="291" t="s">
        <v>108</v>
      </c>
    </row>
    <row r="12" ht="25.95" customHeight="1" spans="2:13">
      <c r="B12" s="289"/>
      <c r="C12" s="284" t="s">
        <v>109</v>
      </c>
      <c r="D12" s="285">
        <v>1.85629758914502</v>
      </c>
      <c r="E12" s="285">
        <v>2.40509028555431</v>
      </c>
      <c r="F12" s="285">
        <v>1.09392744617386</v>
      </c>
      <c r="G12" s="285">
        <v>0.690718523127828</v>
      </c>
      <c r="H12" s="285">
        <v>0.981542861425627</v>
      </c>
      <c r="I12" s="285">
        <v>4.96914719011149</v>
      </c>
      <c r="J12" s="291" t="s">
        <v>110</v>
      </c>
    </row>
    <row r="13" ht="25.95" customHeight="1" spans="2:13">
      <c r="B13" s="289"/>
      <c r="C13" s="292" t="s">
        <v>111</v>
      </c>
      <c r="D13" s="293">
        <v>1.45</v>
      </c>
      <c r="E13" s="285">
        <v>3.86338185890258</v>
      </c>
      <c r="F13" s="285">
        <v>3.26426474383408</v>
      </c>
      <c r="G13" s="285">
        <v>0.610794598706845</v>
      </c>
      <c r="H13" s="285">
        <v>1.00534619189814</v>
      </c>
      <c r="I13" s="285">
        <v>2.78429038601047</v>
      </c>
      <c r="J13" s="285">
        <v>2.98308981932283</v>
      </c>
    </row>
    <row r="14" ht="25.95" customHeight="1" spans="2:13">
      <c r="B14" s="294"/>
      <c r="C14" s="292" t="s">
        <v>112</v>
      </c>
      <c r="D14" s="293">
        <v>2.03</v>
      </c>
      <c r="E14" s="285">
        <v>0.242343437849944</v>
      </c>
      <c r="F14" s="285">
        <v>2.43544789433746</v>
      </c>
      <c r="G14" s="285">
        <v>0.51592727208137</v>
      </c>
      <c r="H14" s="285">
        <v>0.894535533142602</v>
      </c>
      <c r="I14" s="285">
        <v>0.899397713036092</v>
      </c>
      <c r="J14" s="285">
        <v>0</v>
      </c>
    </row>
    <row r="15" ht="25.95" customHeight="1" spans="2:13">
      <c r="B15" s="294"/>
      <c r="C15" s="292" t="s">
        <v>113</v>
      </c>
      <c r="D15" s="285">
        <v>1.42337495669072</v>
      </c>
      <c r="E15" s="285">
        <v>1.67131034901083</v>
      </c>
      <c r="F15" s="285">
        <v>3.66297469012512</v>
      </c>
      <c r="G15" s="285">
        <v>2.12678188974416</v>
      </c>
      <c r="H15" s="285">
        <v>1.04778412209722</v>
      </c>
      <c r="I15" s="285">
        <v>0.837376979229327</v>
      </c>
      <c r="J15" s="285">
        <v>1.49785369640598</v>
      </c>
    </row>
    <row r="16" ht="25.95" customHeight="1" spans="2:13">
      <c r="B16" s="295"/>
      <c r="C16" s="296" t="s">
        <v>114</v>
      </c>
      <c r="D16" s="297" t="s">
        <v>51</v>
      </c>
      <c r="E16" s="297" t="s">
        <v>51</v>
      </c>
      <c r="F16" s="297" t="s">
        <v>51</v>
      </c>
      <c r="G16" s="297" t="s">
        <v>51</v>
      </c>
      <c r="H16" s="297" t="s">
        <v>51</v>
      </c>
      <c r="I16" s="297" t="s">
        <v>51</v>
      </c>
      <c r="J16" s="297" t="s">
        <v>51</v>
      </c>
    </row>
    <row r="18" ht="16.5" spans="2:6">
      <c r="B18" s="298" t="s">
        <v>115</v>
      </c>
      <c r="C18" s="298"/>
      <c r="D18" s="298"/>
      <c r="E18" s="298"/>
      <c r="F18" s="298"/>
    </row>
    <row r="19" ht="16.5" spans="2:6">
      <c r="B19" s="298" t="s">
        <v>116</v>
      </c>
      <c r="C19" s="298"/>
      <c r="D19" s="298"/>
      <c r="E19" s="298"/>
      <c r="F19" s="298"/>
    </row>
    <row r="20" ht="16.5" spans="2:6">
      <c r="B20" s="298" t="s">
        <v>117</v>
      </c>
    </row>
  </sheetData>
  <mergeCells count="1">
    <mergeCell ref="B4:C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showGridLines="0" zoomScale="70" zoomScaleNormal="70" workbookViewId="0">
      <selection activeCell="D17" sqref="D17"/>
    </sheetView>
  </sheetViews>
  <sheetFormatPr defaultColWidth="9" defaultRowHeight="16.5" outlineLevelCol="6"/>
  <cols>
    <col min="1" max="1" width="3.775" style="254" customWidth="1"/>
    <col min="2" max="6" width="17.225" style="254" customWidth="1"/>
    <col min="7" max="7" width="23.775" style="254" customWidth="1"/>
    <col min="8" max="8" width="17.225" style="254" customWidth="1"/>
    <col min="9" max="16384" width="9" style="254"/>
  </cols>
  <sheetData>
    <row r="1" ht="15.9" customHeight="1"/>
    <row r="2" ht="37.95" customHeight="1" spans="2:7">
      <c r="B2" s="255" t="s">
        <v>118</v>
      </c>
    </row>
    <row r="3" ht="15.9" customHeight="1" spans="2:7">
      <c r="B3" s="255"/>
    </row>
    <row r="4" ht="20.25" spans="2:7">
      <c r="B4" s="256" t="s">
        <v>119</v>
      </c>
      <c r="C4" s="256" t="s">
        <v>120</v>
      </c>
      <c r="D4" s="256"/>
      <c r="E4" s="256"/>
      <c r="F4" s="256"/>
      <c r="G4" s="256" t="s">
        <v>121</v>
      </c>
    </row>
    <row r="5" ht="41.1" customHeight="1" spans="2:7">
      <c r="B5" s="256"/>
      <c r="C5" s="257" t="s">
        <v>122</v>
      </c>
      <c r="D5" s="257" t="s">
        <v>123</v>
      </c>
      <c r="E5" s="257" t="s">
        <v>124</v>
      </c>
      <c r="F5" s="257" t="s">
        <v>125</v>
      </c>
      <c r="G5" s="256"/>
    </row>
    <row r="6" ht="27" customHeight="1" spans="2:7">
      <c r="B6" s="258" t="s">
        <v>126</v>
      </c>
      <c r="C6" s="259">
        <v>0.9</v>
      </c>
      <c r="D6" s="259">
        <v>0.95</v>
      </c>
      <c r="E6" s="259">
        <v>1</v>
      </c>
      <c r="F6" s="260">
        <v>1.05</v>
      </c>
      <c r="G6" s="261" t="s">
        <v>127</v>
      </c>
    </row>
    <row r="7" ht="27" customHeight="1" spans="2:7">
      <c r="B7" s="258" t="s">
        <v>128</v>
      </c>
      <c r="C7" s="259">
        <v>0.85</v>
      </c>
      <c r="D7" s="259">
        <v>0.9</v>
      </c>
      <c r="E7" s="259">
        <v>0.95</v>
      </c>
      <c r="F7" s="259">
        <v>1</v>
      </c>
      <c r="G7" s="261"/>
    </row>
    <row r="8" ht="27" customHeight="1" spans="2:7">
      <c r="B8" s="258" t="s">
        <v>129</v>
      </c>
      <c r="C8" s="259">
        <v>0.8</v>
      </c>
      <c r="D8" s="259">
        <v>0.85</v>
      </c>
      <c r="E8" s="259">
        <v>0.9</v>
      </c>
      <c r="F8" s="259">
        <v>0.95</v>
      </c>
      <c r="G8" s="261"/>
    </row>
    <row r="9" ht="27" customHeight="1" spans="2:7">
      <c r="B9" s="258" t="s">
        <v>126</v>
      </c>
      <c r="C9" s="259">
        <v>0.85</v>
      </c>
      <c r="D9" s="259">
        <v>0.9</v>
      </c>
      <c r="E9" s="259">
        <v>0.95</v>
      </c>
      <c r="F9" s="259">
        <v>1</v>
      </c>
      <c r="G9" s="261" t="s">
        <v>130</v>
      </c>
    </row>
    <row r="10" ht="27" customHeight="1" spans="2:7">
      <c r="B10" s="258" t="s">
        <v>128</v>
      </c>
      <c r="C10" s="259">
        <v>0.8</v>
      </c>
      <c r="D10" s="259">
        <v>0.85</v>
      </c>
      <c r="E10" s="259">
        <v>0.9</v>
      </c>
      <c r="F10" s="259">
        <v>0.95</v>
      </c>
      <c r="G10" s="261"/>
    </row>
    <row r="11" ht="27" customHeight="1" spans="2:7">
      <c r="B11" s="258" t="s">
        <v>129</v>
      </c>
      <c r="C11" s="259">
        <v>0.75</v>
      </c>
      <c r="D11" s="259">
        <v>0.8</v>
      </c>
      <c r="E11" s="259">
        <v>0.85</v>
      </c>
      <c r="F11" s="259">
        <v>0.9</v>
      </c>
      <c r="G11" s="261"/>
    </row>
    <row r="14" ht="28.95" customHeight="1" spans="2:7">
      <c r="B14" s="255" t="s">
        <v>131</v>
      </c>
    </row>
    <row r="16" ht="55.95" customHeight="1" spans="2:7">
      <c r="B16" s="262" t="s">
        <v>120</v>
      </c>
      <c r="C16" s="263" t="s">
        <v>132</v>
      </c>
      <c r="D16" s="262" t="s">
        <v>124</v>
      </c>
      <c r="E16" s="262" t="s">
        <v>133</v>
      </c>
      <c r="F16" s="262" t="s">
        <v>121</v>
      </c>
    </row>
    <row r="17" ht="55.95" customHeight="1" spans="2:6">
      <c r="B17" s="264" t="s">
        <v>134</v>
      </c>
      <c r="C17" s="265">
        <v>0.85</v>
      </c>
      <c r="D17" s="265">
        <v>0.9</v>
      </c>
      <c r="E17" s="265">
        <v>0.95</v>
      </c>
      <c r="F17" s="264" t="s">
        <v>135</v>
      </c>
    </row>
  </sheetData>
  <mergeCells count="5">
    <mergeCell ref="C4:F4"/>
    <mergeCell ref="B4:B5"/>
    <mergeCell ref="G4:G5"/>
    <mergeCell ref="G6:G8"/>
    <mergeCell ref="G9:G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  <outlinePr summaryBelow="0" summaryRight="0"/>
  </sheetPr>
  <dimension ref="A1:AA108"/>
  <sheetViews>
    <sheetView showGridLines="0" zoomScale="70" zoomScaleNormal="70" workbookViewId="0">
      <pane xSplit="6" ySplit="3" topLeftCell="G4" activePane="bottomRight" state="frozen"/>
      <selection/>
      <selection pane="topRight"/>
      <selection pane="bottomLeft"/>
      <selection pane="bottomRight" activeCell="Q33" sqref="Q33:AA33"/>
    </sheetView>
  </sheetViews>
  <sheetFormatPr defaultColWidth="8.89166666666667" defaultRowHeight="16.5"/>
  <cols>
    <col min="1" max="1" width="7.44166666666667" style="148" customWidth="1"/>
    <col min="2" max="2" width="12.4416666666667" style="148" customWidth="1"/>
    <col min="3" max="3" width="20.6166666666667" style="148" customWidth="1"/>
    <col min="4" max="4" width="23.0083333333333" style="149" customWidth="1"/>
    <col min="5" max="5" width="26.1083333333333" style="149" customWidth="1"/>
    <col min="6" max="6" width="8.33333333333333" style="148" customWidth="1"/>
    <col min="7" max="7" width="9.33333333333333" style="147" customWidth="1"/>
    <col min="8" max="8" width="15.8916666666667" style="147" customWidth="1"/>
    <col min="9" max="9" width="5.10833333333333" style="147" customWidth="1"/>
    <col min="10" max="10" width="8" style="147" customWidth="1"/>
    <col min="11" max="11" width="13.225" style="150" customWidth="1"/>
    <col min="12" max="12" width="14.6666666666667" style="150" customWidth="1"/>
    <col min="13" max="13" width="14.8916666666667" style="151" customWidth="1"/>
    <col min="14" max="14" width="26.0166666666667" style="147" customWidth="1"/>
    <col min="15" max="15" width="37.3333333333333" style="147" customWidth="1"/>
    <col min="16" max="16" width="8.66666666666667" style="147" customWidth="1"/>
    <col min="17" max="17" width="13.1083333333333" style="152" customWidth="1"/>
    <col min="18" max="27" width="13.1083333333333" style="147" customWidth="1"/>
    <col min="28" max="16384" width="8.89166666666667" style="147"/>
  </cols>
  <sheetData>
    <row r="1" s="145" customFormat="1" ht="23.25" customHeight="1" spans="1:27">
      <c r="A1" s="153" t="e">
        <f>#REF!</f>
        <v>#REF!</v>
      </c>
      <c r="B1" s="154"/>
      <c r="C1" s="154"/>
      <c r="D1" s="155"/>
      <c r="E1" s="155"/>
      <c r="F1" s="154"/>
      <c r="K1" s="156"/>
      <c r="L1" s="156"/>
      <c r="M1" s="157"/>
      <c r="Q1" s="158">
        <v>1</v>
      </c>
      <c r="R1" s="158">
        <v>2</v>
      </c>
      <c r="S1" s="158">
        <v>3</v>
      </c>
      <c r="T1" s="158">
        <v>4</v>
      </c>
      <c r="U1" s="158">
        <v>5</v>
      </c>
      <c r="V1" s="158">
        <v>6</v>
      </c>
      <c r="W1" s="158">
        <v>7</v>
      </c>
      <c r="X1" s="158">
        <v>8</v>
      </c>
      <c r="Y1" s="158">
        <v>9</v>
      </c>
      <c r="Z1" s="158">
        <v>10</v>
      </c>
      <c r="AA1" s="158">
        <v>11</v>
      </c>
    </row>
    <row r="2" ht="31.2" customHeight="1" spans="1:27">
      <c r="A2" s="159" t="s">
        <v>136</v>
      </c>
      <c r="B2" s="159"/>
      <c r="C2" s="160"/>
      <c r="D2" s="161"/>
      <c r="E2" s="161"/>
      <c r="F2" s="162"/>
      <c r="G2" s="163" t="s">
        <v>137</v>
      </c>
      <c r="H2" s="164"/>
      <c r="I2" s="163" t="s">
        <v>138</v>
      </c>
      <c r="J2" s="164"/>
      <c r="K2" s="165" t="s">
        <v>139</v>
      </c>
      <c r="L2" s="166"/>
      <c r="M2" s="167" t="s">
        <v>140</v>
      </c>
      <c r="N2" s="163" t="s">
        <v>141</v>
      </c>
      <c r="O2" s="168" t="s">
        <v>142</v>
      </c>
      <c r="P2" s="168" t="s">
        <v>143</v>
      </c>
      <c r="Q2" s="169" t="e" cm="1">
        <f t="array" ref="Q2">TRANSPOSE(#REF!)</f>
        <v>#REF!</v>
      </c>
      <c r="R2" s="169"/>
      <c r="S2" s="170"/>
      <c r="T2" s="170"/>
      <c r="U2" s="170"/>
      <c r="V2" s="170"/>
      <c r="W2" s="170"/>
      <c r="X2" s="170"/>
      <c r="Y2" s="170"/>
      <c r="Z2" s="170"/>
      <c r="AA2" s="170"/>
    </row>
    <row r="3" s="146" customFormat="1" customHeight="1" spans="1:27">
      <c r="A3" s="171" t="s">
        <v>144</v>
      </c>
      <c r="B3" s="171" t="s">
        <v>145</v>
      </c>
      <c r="C3" s="171" t="s">
        <v>146</v>
      </c>
      <c r="D3" s="171" t="s">
        <v>147</v>
      </c>
      <c r="E3" s="171" t="s">
        <v>148</v>
      </c>
      <c r="F3" s="171" t="s">
        <v>149</v>
      </c>
      <c r="G3" s="171" t="s">
        <v>150</v>
      </c>
      <c r="H3" s="172" t="s">
        <v>151</v>
      </c>
      <c r="I3" s="171" t="s">
        <v>150</v>
      </c>
      <c r="J3" s="172" t="s">
        <v>151</v>
      </c>
      <c r="K3" s="173" t="s">
        <v>150</v>
      </c>
      <c r="L3" s="174" t="s">
        <v>151</v>
      </c>
      <c r="M3" s="175"/>
      <c r="N3" s="176"/>
      <c r="O3" s="177"/>
      <c r="P3" s="177"/>
      <c r="Q3" s="169"/>
      <c r="R3" s="169"/>
      <c r="S3" s="178"/>
      <c r="T3" s="178"/>
      <c r="U3" s="178"/>
      <c r="V3" s="178"/>
      <c r="W3" s="178"/>
      <c r="X3" s="178"/>
      <c r="Y3" s="178"/>
      <c r="Z3" s="178"/>
      <c r="AA3" s="178"/>
    </row>
    <row r="4" s="147" customFormat="1" ht="17" customHeight="1" spans="1:27">
      <c r="A4" s="179" t="s">
        <v>152</v>
      </c>
      <c r="B4" s="180" t="s">
        <v>153</v>
      </c>
      <c r="C4" s="111" t="s">
        <v>154</v>
      </c>
      <c r="D4" s="111" t="s">
        <v>155</v>
      </c>
      <c r="E4" s="111" t="s">
        <v>156</v>
      </c>
      <c r="F4" s="111" t="s">
        <v>157</v>
      </c>
      <c r="G4" s="181">
        <f>SUM(Q4:AA4)</f>
        <v>1.43875661375661</v>
      </c>
      <c r="H4" s="182"/>
      <c r="I4" s="183"/>
      <c r="J4" s="182"/>
      <c r="K4" s="184">
        <f>G4-I4</f>
        <v>1.43875661375661</v>
      </c>
      <c r="L4" s="185">
        <f>K4*M4</f>
        <v>1122230.15873015</v>
      </c>
      <c r="M4" s="186">
        <v>780000</v>
      </c>
      <c r="N4" s="187"/>
      <c r="O4" s="188"/>
      <c r="P4" s="188"/>
      <c r="Q4" s="189">
        <v>0.191633597883598</v>
      </c>
      <c r="R4" s="189">
        <v>0.0383267195767196</v>
      </c>
      <c r="S4" s="189">
        <v>0.0255511463844797</v>
      </c>
      <c r="T4" s="189">
        <v>0.0413359788359788</v>
      </c>
      <c r="U4" s="189">
        <v>0.124801587301588</v>
      </c>
      <c r="V4" s="189">
        <v>0.0220238095238095</v>
      </c>
      <c r="W4" s="189">
        <v>0.0435626102292768</v>
      </c>
      <c r="X4" s="189">
        <v>0.326719576719577</v>
      </c>
      <c r="Y4" s="189">
        <v>0.46709656084656</v>
      </c>
      <c r="Z4" s="189">
        <v>0.09341931216931</v>
      </c>
      <c r="AA4" s="189">
        <v>0.06428571428571</v>
      </c>
    </row>
    <row r="5" s="147" customFormat="1" ht="17" customHeight="1" spans="1:27">
      <c r="A5" s="179" t="s">
        <v>152</v>
      </c>
      <c r="B5" s="180" t="s">
        <v>153</v>
      </c>
      <c r="C5" s="111" t="s">
        <v>154</v>
      </c>
      <c r="D5" s="111" t="s">
        <v>158</v>
      </c>
      <c r="E5" s="111" t="s">
        <v>159</v>
      </c>
      <c r="F5" s="111" t="s">
        <v>157</v>
      </c>
      <c r="G5" s="181">
        <f t="shared" ref="G5:G24" si="0">SUM(Q5:AA5)</f>
        <v>0.47222222222222</v>
      </c>
      <c r="H5" s="182"/>
      <c r="I5" s="183"/>
      <c r="J5" s="182"/>
      <c r="K5" s="184">
        <f>G5-I5</f>
        <v>0.47222222222222</v>
      </c>
      <c r="L5" s="185">
        <f t="shared" ref="L5:L20" si="1">K5*M5</f>
        <v>576696.166111109</v>
      </c>
      <c r="M5" s="186">
        <v>1221238.94</v>
      </c>
      <c r="N5" s="187"/>
      <c r="O5" s="188"/>
      <c r="P5" s="188"/>
      <c r="Q5" s="189"/>
      <c r="R5" s="189"/>
      <c r="S5" s="189"/>
      <c r="T5" s="189"/>
      <c r="U5" s="189"/>
      <c r="V5" s="189"/>
      <c r="W5" s="189"/>
      <c r="X5" s="189"/>
      <c r="Y5" s="189">
        <v>0.354166666666667</v>
      </c>
      <c r="Z5" s="189">
        <v>0.0708333333333333</v>
      </c>
      <c r="AA5" s="189">
        <v>0.04722222222222</v>
      </c>
    </row>
    <row r="6" s="147" customFormat="1" ht="17" customHeight="1" spans="1:27">
      <c r="A6" s="179" t="s">
        <v>152</v>
      </c>
      <c r="B6" s="180" t="s">
        <v>153</v>
      </c>
      <c r="C6" s="111" t="s">
        <v>160</v>
      </c>
      <c r="D6" s="111" t="s">
        <v>161</v>
      </c>
      <c r="E6" s="111" t="s">
        <v>162</v>
      </c>
      <c r="F6" s="111" t="s">
        <v>157</v>
      </c>
      <c r="G6" s="181">
        <f t="shared" si="0"/>
        <v>0.418937389770732</v>
      </c>
      <c r="H6" s="182"/>
      <c r="I6" s="183"/>
      <c r="J6" s="182"/>
      <c r="K6" s="184">
        <f>G6-I6</f>
        <v>0.418937389770732</v>
      </c>
      <c r="L6" s="185">
        <f t="shared" si="1"/>
        <v>51283.7136545426</v>
      </c>
      <c r="M6" s="186">
        <v>122413.79</v>
      </c>
      <c r="N6" s="187"/>
      <c r="O6" s="188"/>
      <c r="P6" s="188"/>
      <c r="Q6" s="189">
        <v>0.143518518518519</v>
      </c>
      <c r="R6" s="189">
        <v>0.0287037037037037</v>
      </c>
      <c r="S6" s="189">
        <v>0.0191358024691358</v>
      </c>
      <c r="T6" s="189">
        <v>0.0287037037037037</v>
      </c>
      <c r="U6" s="189"/>
      <c r="V6" s="189"/>
      <c r="W6" s="189"/>
      <c r="X6" s="189"/>
      <c r="Y6" s="189">
        <v>0.14864417989418</v>
      </c>
      <c r="Z6" s="189">
        <v>0.02972883597884</v>
      </c>
      <c r="AA6" s="189">
        <v>0.02050264550265</v>
      </c>
    </row>
    <row r="7" s="147" customFormat="1" ht="17" customHeight="1" spans="1:27">
      <c r="A7" s="179" t="s">
        <v>152</v>
      </c>
      <c r="B7" s="180" t="s">
        <v>153</v>
      </c>
      <c r="C7" s="111" t="s">
        <v>163</v>
      </c>
      <c r="D7" s="111" t="s">
        <v>164</v>
      </c>
      <c r="E7" s="111" t="s">
        <v>165</v>
      </c>
      <c r="F7" s="111" t="s">
        <v>157</v>
      </c>
      <c r="G7" s="181">
        <f t="shared" si="0"/>
        <v>3</v>
      </c>
      <c r="H7" s="182"/>
      <c r="I7" s="183"/>
      <c r="J7" s="182"/>
      <c r="K7" s="190">
        <v>1</v>
      </c>
      <c r="L7" s="191">
        <f t="shared" si="1"/>
        <v>900000</v>
      </c>
      <c r="M7" s="192">
        <v>900000</v>
      </c>
      <c r="N7" s="193" t="s">
        <v>166</v>
      </c>
      <c r="O7" s="188" t="s">
        <v>167</v>
      </c>
      <c r="P7" s="188"/>
      <c r="Q7" s="189"/>
      <c r="R7" s="189"/>
      <c r="S7" s="189"/>
      <c r="T7" s="189"/>
      <c r="U7" s="189"/>
      <c r="V7" s="189"/>
      <c r="W7" s="189"/>
      <c r="X7" s="189"/>
      <c r="Y7" s="189">
        <v>2.25</v>
      </c>
      <c r="Z7" s="189">
        <v>0.45</v>
      </c>
      <c r="AA7" s="189">
        <v>0.3</v>
      </c>
    </row>
    <row r="8" s="147" customFormat="1" ht="17" customHeight="1" spans="1:27">
      <c r="A8" s="179" t="s">
        <v>152</v>
      </c>
      <c r="B8" s="180" t="s">
        <v>153</v>
      </c>
      <c r="C8" s="111" t="s">
        <v>163</v>
      </c>
      <c r="D8" s="111" t="s">
        <v>164</v>
      </c>
      <c r="E8" s="111" t="s">
        <v>165</v>
      </c>
      <c r="F8" s="111" t="s">
        <v>157</v>
      </c>
      <c r="G8" s="181">
        <f t="shared" si="0"/>
        <v>2.00000000000001</v>
      </c>
      <c r="H8" s="182"/>
      <c r="I8" s="183"/>
      <c r="J8" s="182"/>
      <c r="K8" s="190">
        <v>0</v>
      </c>
      <c r="L8" s="191">
        <f t="shared" si="1"/>
        <v>0</v>
      </c>
      <c r="M8" s="192">
        <v>300000</v>
      </c>
      <c r="N8" s="193"/>
      <c r="O8" s="188" t="s">
        <v>168</v>
      </c>
      <c r="P8" s="188"/>
      <c r="Q8" s="189">
        <v>1.30434782608696</v>
      </c>
      <c r="R8" s="189">
        <v>0.260869565217392</v>
      </c>
      <c r="S8" s="189">
        <v>0.173913043478261</v>
      </c>
      <c r="T8" s="189">
        <v>0.260869565217392</v>
      </c>
      <c r="U8" s="189"/>
      <c r="V8" s="189"/>
      <c r="W8" s="189"/>
      <c r="X8" s="189"/>
      <c r="Y8" s="189"/>
      <c r="Z8" s="189"/>
      <c r="AA8" s="189"/>
    </row>
    <row r="9" s="147" customFormat="1" ht="17" customHeight="1" spans="1:27">
      <c r="A9" s="179" t="s">
        <v>152</v>
      </c>
      <c r="B9" s="180" t="s">
        <v>153</v>
      </c>
      <c r="C9" s="111" t="s">
        <v>163</v>
      </c>
      <c r="D9" s="111" t="s">
        <v>164</v>
      </c>
      <c r="E9" s="111" t="s">
        <v>165</v>
      </c>
      <c r="F9" s="111" t="s">
        <v>157</v>
      </c>
      <c r="G9" s="181">
        <f t="shared" si="0"/>
        <v>6</v>
      </c>
      <c r="H9" s="182"/>
      <c r="I9" s="183"/>
      <c r="J9" s="182"/>
      <c r="K9" s="190">
        <v>3</v>
      </c>
      <c r="L9" s="191">
        <f t="shared" si="1"/>
        <v>1050000</v>
      </c>
      <c r="M9" s="194">
        <v>350000</v>
      </c>
      <c r="N9" s="193" t="s">
        <v>166</v>
      </c>
      <c r="O9" s="188" t="s">
        <v>169</v>
      </c>
      <c r="P9" s="188"/>
      <c r="Q9" s="189"/>
      <c r="R9" s="189"/>
      <c r="S9" s="189"/>
      <c r="T9" s="189"/>
      <c r="U9" s="189">
        <v>0.85</v>
      </c>
      <c r="V9" s="189">
        <v>0.15</v>
      </c>
      <c r="W9" s="189">
        <v>0.35294117647059</v>
      </c>
      <c r="X9" s="189">
        <v>2.64705882352941</v>
      </c>
      <c r="Y9" s="189">
        <v>1.5</v>
      </c>
      <c r="Z9" s="189">
        <v>0.3</v>
      </c>
      <c r="AA9" s="189">
        <v>0.2</v>
      </c>
    </row>
    <row r="10" s="147" customFormat="1" ht="17" customHeight="1" spans="1:27">
      <c r="A10" s="179" t="s">
        <v>152</v>
      </c>
      <c r="B10" s="180" t="s">
        <v>153</v>
      </c>
      <c r="C10" s="111" t="s">
        <v>163</v>
      </c>
      <c r="D10" s="111" t="s">
        <v>164</v>
      </c>
      <c r="E10" s="111" t="s">
        <v>165</v>
      </c>
      <c r="F10" s="111" t="s">
        <v>157</v>
      </c>
      <c r="G10" s="181">
        <f t="shared" si="0"/>
        <v>1</v>
      </c>
      <c r="H10" s="182"/>
      <c r="I10" s="183"/>
      <c r="J10" s="182"/>
      <c r="K10" s="190">
        <v>0</v>
      </c>
      <c r="L10" s="191">
        <f t="shared" si="1"/>
        <v>0</v>
      </c>
      <c r="M10" s="192">
        <v>230000</v>
      </c>
      <c r="N10" s="193"/>
      <c r="O10" s="188" t="s">
        <v>170</v>
      </c>
      <c r="P10" s="188"/>
      <c r="Q10" s="189"/>
      <c r="R10" s="189"/>
      <c r="S10" s="189"/>
      <c r="T10" s="189"/>
      <c r="U10" s="189"/>
      <c r="V10" s="189"/>
      <c r="W10" s="189">
        <v>0.11764705882353</v>
      </c>
      <c r="X10" s="189">
        <v>0.88235294117647</v>
      </c>
      <c r="Y10" s="189"/>
      <c r="Z10" s="189"/>
      <c r="AA10" s="189"/>
    </row>
    <row r="11" s="147" customFormat="1" ht="17" customHeight="1" spans="1:27">
      <c r="A11" s="179" t="s">
        <v>152</v>
      </c>
      <c r="B11" s="180" t="s">
        <v>153</v>
      </c>
      <c r="C11" s="111" t="s">
        <v>171</v>
      </c>
      <c r="D11" s="111" t="s">
        <v>172</v>
      </c>
      <c r="E11" s="111" t="s">
        <v>173</v>
      </c>
      <c r="F11" s="111" t="s">
        <v>157</v>
      </c>
      <c r="G11" s="181">
        <f t="shared" si="0"/>
        <v>2.00000000000001</v>
      </c>
      <c r="H11" s="182"/>
      <c r="I11" s="183"/>
      <c r="J11" s="182"/>
      <c r="K11" s="190">
        <v>0</v>
      </c>
      <c r="L11" s="191">
        <f t="shared" si="1"/>
        <v>0</v>
      </c>
      <c r="M11" s="192">
        <v>69000</v>
      </c>
      <c r="N11" s="193"/>
      <c r="O11" s="188"/>
      <c r="P11" s="188"/>
      <c r="Q11" s="189">
        <v>1.30434782608696</v>
      </c>
      <c r="R11" s="189">
        <v>0.260869565217392</v>
      </c>
      <c r="S11" s="189">
        <v>0.173913043478261</v>
      </c>
      <c r="T11" s="189">
        <v>0.260869565217392</v>
      </c>
      <c r="U11" s="189"/>
      <c r="V11" s="189"/>
      <c r="W11" s="189"/>
      <c r="X11" s="189"/>
      <c r="Y11" s="189"/>
      <c r="Z11" s="189"/>
      <c r="AA11" s="189"/>
    </row>
    <row r="12" s="147" customFormat="1" ht="17" customHeight="1" spans="1:27">
      <c r="A12" s="179" t="s">
        <v>152</v>
      </c>
      <c r="B12" s="180" t="s">
        <v>153</v>
      </c>
      <c r="C12" s="111" t="s">
        <v>171</v>
      </c>
      <c r="D12" s="111" t="s">
        <v>174</v>
      </c>
      <c r="E12" s="111" t="s">
        <v>175</v>
      </c>
      <c r="F12" s="111" t="s">
        <v>157</v>
      </c>
      <c r="G12" s="181">
        <f t="shared" si="0"/>
        <v>6</v>
      </c>
      <c r="H12" s="182"/>
      <c r="I12" s="183"/>
      <c r="J12" s="182"/>
      <c r="K12" s="190">
        <v>0</v>
      </c>
      <c r="L12" s="191">
        <f t="shared" si="1"/>
        <v>0</v>
      </c>
      <c r="M12" s="192">
        <v>10800</v>
      </c>
      <c r="N12" s="193"/>
      <c r="O12" s="188"/>
      <c r="P12" s="188"/>
      <c r="Q12" s="189"/>
      <c r="R12" s="189"/>
      <c r="S12" s="189"/>
      <c r="T12" s="189"/>
      <c r="U12" s="189">
        <v>0.85</v>
      </c>
      <c r="V12" s="189">
        <v>0.15</v>
      </c>
      <c r="W12" s="189">
        <v>0.35294117647059</v>
      </c>
      <c r="X12" s="189">
        <v>2.64705882352941</v>
      </c>
      <c r="Y12" s="189">
        <v>1.5</v>
      </c>
      <c r="Z12" s="189">
        <v>0.3</v>
      </c>
      <c r="AA12" s="189">
        <v>0.2</v>
      </c>
    </row>
    <row r="13" s="147" customFormat="1" ht="17" customHeight="1" spans="1:27">
      <c r="A13" s="179" t="s">
        <v>152</v>
      </c>
      <c r="B13" s="180" t="s">
        <v>153</v>
      </c>
      <c r="C13" s="111" t="s">
        <v>176</v>
      </c>
      <c r="D13" s="111" t="s">
        <v>177</v>
      </c>
      <c r="E13" s="111" t="s">
        <v>178</v>
      </c>
      <c r="F13" s="111" t="s">
        <v>179</v>
      </c>
      <c r="G13" s="181">
        <f t="shared" si="0"/>
        <v>2</v>
      </c>
      <c r="H13" s="182"/>
      <c r="I13" s="183"/>
      <c r="J13" s="182"/>
      <c r="K13" s="190">
        <v>0</v>
      </c>
      <c r="L13" s="191">
        <f t="shared" si="1"/>
        <v>0</v>
      </c>
      <c r="M13" s="192">
        <v>21900</v>
      </c>
      <c r="N13" s="193"/>
      <c r="O13" s="188"/>
      <c r="P13" s="188"/>
      <c r="Q13" s="189"/>
      <c r="R13" s="189"/>
      <c r="S13" s="189"/>
      <c r="T13" s="189"/>
      <c r="U13" s="189"/>
      <c r="V13" s="189"/>
      <c r="W13" s="189"/>
      <c r="X13" s="189"/>
      <c r="Y13" s="189">
        <v>1.5</v>
      </c>
      <c r="Z13" s="189">
        <v>0.3</v>
      </c>
      <c r="AA13" s="189">
        <v>0.2</v>
      </c>
    </row>
    <row r="14" s="147" customFormat="1" ht="17" customHeight="1" spans="1:27">
      <c r="A14" s="179" t="s">
        <v>152</v>
      </c>
      <c r="B14" s="180" t="s">
        <v>153</v>
      </c>
      <c r="C14" s="111" t="s">
        <v>180</v>
      </c>
      <c r="D14" s="111" t="s">
        <v>181</v>
      </c>
      <c r="E14" s="111" t="s">
        <v>182</v>
      </c>
      <c r="F14" s="111" t="s">
        <v>157</v>
      </c>
      <c r="G14" s="181">
        <f t="shared" si="0"/>
        <v>5</v>
      </c>
      <c r="H14" s="182"/>
      <c r="I14" s="183"/>
      <c r="J14" s="182"/>
      <c r="K14" s="190">
        <v>0</v>
      </c>
      <c r="L14" s="191">
        <f t="shared" ref="L14:L16" si="2">K14*M14</f>
        <v>0</v>
      </c>
      <c r="M14" s="192">
        <v>130000</v>
      </c>
      <c r="N14" s="193"/>
      <c r="O14" s="188"/>
      <c r="P14" s="188"/>
      <c r="Q14" s="189"/>
      <c r="R14" s="189"/>
      <c r="S14" s="189"/>
      <c r="T14" s="189"/>
      <c r="U14" s="189">
        <v>1.7</v>
      </c>
      <c r="V14" s="189">
        <v>0.3</v>
      </c>
      <c r="W14" s="189">
        <v>0.35294117647059</v>
      </c>
      <c r="X14" s="189">
        <v>2.64705882352941</v>
      </c>
      <c r="Y14" s="189"/>
      <c r="Z14" s="189"/>
      <c r="AA14" s="189"/>
    </row>
    <row r="15" s="147" customFormat="1" ht="17" customHeight="1" spans="1:27">
      <c r="A15" s="179" t="s">
        <v>152</v>
      </c>
      <c r="B15" s="180" t="s">
        <v>153</v>
      </c>
      <c r="C15" s="111" t="s">
        <v>180</v>
      </c>
      <c r="D15" s="111" t="s">
        <v>183</v>
      </c>
      <c r="E15" s="111" t="s">
        <v>184</v>
      </c>
      <c r="F15" s="111" t="s">
        <v>157</v>
      </c>
      <c r="G15" s="181">
        <f t="shared" si="0"/>
        <v>2.00000000000001</v>
      </c>
      <c r="H15" s="182"/>
      <c r="I15" s="183"/>
      <c r="J15" s="182"/>
      <c r="K15" s="190">
        <v>0</v>
      </c>
      <c r="L15" s="191">
        <f t="shared" si="2"/>
        <v>0</v>
      </c>
      <c r="M15" s="192">
        <v>130000</v>
      </c>
      <c r="N15" s="193"/>
      <c r="O15" s="188"/>
      <c r="P15" s="188"/>
      <c r="Q15" s="189">
        <v>1.30434782608696</v>
      </c>
      <c r="R15" s="189">
        <v>0.260869565217392</v>
      </c>
      <c r="S15" s="189">
        <v>0.173913043478261</v>
      </c>
      <c r="T15" s="189">
        <v>0.260869565217392</v>
      </c>
      <c r="U15" s="189"/>
      <c r="V15" s="189"/>
      <c r="W15" s="189"/>
      <c r="X15" s="189"/>
      <c r="Y15" s="189"/>
      <c r="Z15" s="189"/>
      <c r="AA15" s="189"/>
    </row>
    <row r="16" s="147" customFormat="1" ht="17" customHeight="1" spans="1:27">
      <c r="A16" s="179" t="s">
        <v>152</v>
      </c>
      <c r="B16" s="180" t="s">
        <v>153</v>
      </c>
      <c r="C16" s="111" t="s">
        <v>185</v>
      </c>
      <c r="D16" s="111" t="s">
        <v>186</v>
      </c>
      <c r="E16" s="111" t="s">
        <v>187</v>
      </c>
      <c r="F16" s="111" t="s">
        <v>157</v>
      </c>
      <c r="G16" s="181">
        <f t="shared" si="0"/>
        <v>9.00000000000001</v>
      </c>
      <c r="H16" s="182"/>
      <c r="I16" s="183"/>
      <c r="J16" s="182"/>
      <c r="K16" s="190">
        <v>1</v>
      </c>
      <c r="L16" s="191">
        <f t="shared" si="2"/>
        <v>110000</v>
      </c>
      <c r="M16" s="192">
        <v>110000</v>
      </c>
      <c r="N16" s="193" t="s">
        <v>166</v>
      </c>
      <c r="O16" s="188" t="s">
        <v>188</v>
      </c>
      <c r="P16" s="188"/>
      <c r="Q16" s="189">
        <v>1.30434782608696</v>
      </c>
      <c r="R16" s="189">
        <v>0.260869565217392</v>
      </c>
      <c r="S16" s="189">
        <v>0.173913043478261</v>
      </c>
      <c r="T16" s="189">
        <v>0.260869565217392</v>
      </c>
      <c r="U16" s="189">
        <v>1.7</v>
      </c>
      <c r="V16" s="189">
        <v>0.3</v>
      </c>
      <c r="W16" s="189">
        <v>0.23529411764706</v>
      </c>
      <c r="X16" s="189">
        <v>1.76470588235294</v>
      </c>
      <c r="Y16" s="189">
        <v>2.25</v>
      </c>
      <c r="Z16" s="189">
        <v>0.45</v>
      </c>
      <c r="AA16" s="189">
        <v>0.3</v>
      </c>
    </row>
    <row r="17" s="147" customFormat="1" ht="49" customHeight="1" spans="1:27">
      <c r="A17" s="179" t="s">
        <v>152</v>
      </c>
      <c r="B17" s="180" t="s">
        <v>153</v>
      </c>
      <c r="C17" s="111" t="s">
        <v>185</v>
      </c>
      <c r="D17" s="111" t="s">
        <v>186</v>
      </c>
      <c r="E17" s="111" t="s">
        <v>187</v>
      </c>
      <c r="F17" s="111" t="s">
        <v>157</v>
      </c>
      <c r="G17" s="181">
        <f t="shared" si="0"/>
        <v>9.00000000000001</v>
      </c>
      <c r="H17" s="182"/>
      <c r="I17" s="183"/>
      <c r="J17" s="182"/>
      <c r="K17" s="190">
        <v>1</v>
      </c>
      <c r="L17" s="191">
        <f t="shared" ref="L17:L25" si="3">K17*M17</f>
        <v>85500</v>
      </c>
      <c r="M17" s="192">
        <v>85500</v>
      </c>
      <c r="N17" s="193" t="s">
        <v>189</v>
      </c>
      <c r="O17" s="188" t="s">
        <v>188</v>
      </c>
      <c r="P17" s="188"/>
      <c r="Q17" s="189">
        <v>1.30434782608696</v>
      </c>
      <c r="R17" s="189">
        <v>0.260869565217392</v>
      </c>
      <c r="S17" s="189">
        <v>0.173913043478261</v>
      </c>
      <c r="T17" s="189">
        <v>0.260869565217392</v>
      </c>
      <c r="U17" s="189">
        <v>1.7</v>
      </c>
      <c r="V17" s="189">
        <v>0.3</v>
      </c>
      <c r="W17" s="189">
        <v>0.23529411764706</v>
      </c>
      <c r="X17" s="189">
        <v>1.76470588235294</v>
      </c>
      <c r="Y17" s="189">
        <v>2.25</v>
      </c>
      <c r="Z17" s="189">
        <v>0.45</v>
      </c>
      <c r="AA17" s="189">
        <v>0.3</v>
      </c>
    </row>
    <row r="18" s="147" customFormat="1" spans="1:27">
      <c r="A18" s="195" t="s">
        <v>152</v>
      </c>
      <c r="B18" s="180" t="s">
        <v>153</v>
      </c>
      <c r="C18" s="196" t="s">
        <v>185</v>
      </c>
      <c r="D18" s="197" t="s">
        <v>190</v>
      </c>
      <c r="E18" s="197" t="s">
        <v>187</v>
      </c>
      <c r="F18" s="197" t="s">
        <v>157</v>
      </c>
      <c r="G18" s="181">
        <f t="shared" si="0"/>
        <v>1</v>
      </c>
      <c r="H18" s="198"/>
      <c r="I18" s="172"/>
      <c r="J18" s="198"/>
      <c r="K18" s="190">
        <v>0</v>
      </c>
      <c r="L18" s="191">
        <f t="shared" si="3"/>
        <v>0</v>
      </c>
      <c r="M18" s="194">
        <v>300000</v>
      </c>
      <c r="N18" s="199"/>
      <c r="O18" s="188" t="s">
        <v>191</v>
      </c>
      <c r="P18" s="200"/>
      <c r="Q18" s="189"/>
      <c r="R18" s="189"/>
      <c r="S18" s="189"/>
      <c r="T18" s="189"/>
      <c r="U18" s="189"/>
      <c r="V18" s="189"/>
      <c r="W18" s="189"/>
      <c r="X18" s="189"/>
      <c r="Y18" s="189">
        <v>0.75</v>
      </c>
      <c r="Z18" s="189">
        <v>0.15</v>
      </c>
      <c r="AA18" s="189">
        <v>0.1</v>
      </c>
    </row>
    <row r="19" s="147" customFormat="1" spans="1:27">
      <c r="A19" s="195" t="s">
        <v>152</v>
      </c>
      <c r="B19" s="180" t="s">
        <v>153</v>
      </c>
      <c r="C19" s="196" t="s">
        <v>192</v>
      </c>
      <c r="D19" s="197" t="s">
        <v>193</v>
      </c>
      <c r="E19" s="197" t="s">
        <v>194</v>
      </c>
      <c r="F19" s="197" t="s">
        <v>157</v>
      </c>
      <c r="G19" s="181">
        <f t="shared" si="0"/>
        <v>3</v>
      </c>
      <c r="H19" s="198"/>
      <c r="I19" s="172"/>
      <c r="J19" s="198"/>
      <c r="K19" s="190">
        <v>2</v>
      </c>
      <c r="L19" s="191">
        <f t="shared" si="3"/>
        <v>288000</v>
      </c>
      <c r="M19" s="194">
        <v>144000</v>
      </c>
      <c r="N19" s="193" t="s">
        <v>166</v>
      </c>
      <c r="O19" s="188"/>
      <c r="P19" s="200"/>
      <c r="Q19" s="189"/>
      <c r="R19" s="189"/>
      <c r="S19" s="189"/>
      <c r="T19" s="189"/>
      <c r="U19" s="189"/>
      <c r="V19" s="189"/>
      <c r="W19" s="189"/>
      <c r="X19" s="189"/>
      <c r="Y19" s="189">
        <v>2.25</v>
      </c>
      <c r="Z19" s="189">
        <v>0.45</v>
      </c>
      <c r="AA19" s="189">
        <v>0.3</v>
      </c>
    </row>
    <row r="20" s="147" customFormat="1" spans="1:27">
      <c r="A20" s="195" t="s">
        <v>152</v>
      </c>
      <c r="B20" s="180" t="s">
        <v>153</v>
      </c>
      <c r="C20" s="196" t="s">
        <v>195</v>
      </c>
      <c r="D20" s="197" t="s">
        <v>196</v>
      </c>
      <c r="E20" s="197" t="s">
        <v>197</v>
      </c>
      <c r="F20" s="197" t="s">
        <v>157</v>
      </c>
      <c r="G20" s="181">
        <f t="shared" si="0"/>
        <v>1</v>
      </c>
      <c r="H20" s="198"/>
      <c r="I20" s="172"/>
      <c r="J20" s="198"/>
      <c r="K20" s="190">
        <v>0</v>
      </c>
      <c r="L20" s="191">
        <f t="shared" si="3"/>
        <v>0</v>
      </c>
      <c r="M20" s="194">
        <v>50000</v>
      </c>
      <c r="N20" s="199"/>
      <c r="O20" s="176" t="s">
        <v>198</v>
      </c>
      <c r="P20" s="176"/>
      <c r="Q20" s="189">
        <v>0.326086956521739</v>
      </c>
      <c r="R20" s="189">
        <v>0.065217391304348</v>
      </c>
      <c r="S20" s="189">
        <v>0.0434782608695652</v>
      </c>
      <c r="T20" s="189">
        <v>0.065217391304348</v>
      </c>
      <c r="U20" s="189"/>
      <c r="V20" s="189"/>
      <c r="W20" s="189"/>
      <c r="X20" s="189"/>
      <c r="Y20" s="189">
        <v>0.375</v>
      </c>
      <c r="Z20" s="189">
        <v>0.075</v>
      </c>
      <c r="AA20" s="189">
        <v>0.05</v>
      </c>
    </row>
    <row r="21" s="147" customFormat="1" spans="1:27">
      <c r="A21" s="195" t="s">
        <v>152</v>
      </c>
      <c r="B21" s="180" t="s">
        <v>153</v>
      </c>
      <c r="C21" s="196" t="s">
        <v>195</v>
      </c>
      <c r="D21" s="197" t="s">
        <v>199</v>
      </c>
      <c r="E21" s="197" t="s">
        <v>200</v>
      </c>
      <c r="F21" s="197" t="s">
        <v>157</v>
      </c>
      <c r="G21" s="181">
        <f t="shared" si="0"/>
        <v>0.315939153439154</v>
      </c>
      <c r="H21" s="198"/>
      <c r="I21" s="172"/>
      <c r="J21" s="198"/>
      <c r="K21" s="184">
        <f>G21-I21</f>
        <v>0.315939153439154</v>
      </c>
      <c r="L21" s="185">
        <f t="shared" si="3"/>
        <v>23927.6517857143</v>
      </c>
      <c r="M21" s="201">
        <v>75735</v>
      </c>
      <c r="N21" s="176"/>
      <c r="O21" s="176"/>
      <c r="P21" s="176"/>
      <c r="Q21" s="189"/>
      <c r="R21" s="189"/>
      <c r="S21" s="189"/>
      <c r="T21" s="189"/>
      <c r="U21" s="189"/>
      <c r="V21" s="189"/>
      <c r="W21" s="189">
        <v>0.0371693121693121</v>
      </c>
      <c r="X21" s="189">
        <v>0.278769841269842</v>
      </c>
      <c r="Y21" s="189"/>
      <c r="Z21" s="189"/>
      <c r="AA21" s="189"/>
    </row>
    <row r="22" s="147" customFormat="1" spans="1:27">
      <c r="A22" s="195" t="s">
        <v>152</v>
      </c>
      <c r="B22" s="180" t="s">
        <v>153</v>
      </c>
      <c r="C22" s="196" t="s">
        <v>201</v>
      </c>
      <c r="D22" s="197" t="s">
        <v>202</v>
      </c>
      <c r="E22" s="197"/>
      <c r="F22" s="197" t="s">
        <v>157</v>
      </c>
      <c r="G22" s="181">
        <f t="shared" si="0"/>
        <v>0.24459876543209</v>
      </c>
      <c r="H22" s="198"/>
      <c r="I22" s="172"/>
      <c r="J22" s="198"/>
      <c r="K22" s="184">
        <f>G22-I22</f>
        <v>0.24459876543209</v>
      </c>
      <c r="L22" s="185">
        <f t="shared" si="3"/>
        <v>13213.2277546292</v>
      </c>
      <c r="M22" s="201">
        <v>54020.01</v>
      </c>
      <c r="N22" s="176"/>
      <c r="O22" s="176" t="s">
        <v>203</v>
      </c>
      <c r="P22" s="176"/>
      <c r="Q22" s="189"/>
      <c r="R22" s="189"/>
      <c r="S22" s="189"/>
      <c r="T22" s="189"/>
      <c r="U22" s="189"/>
      <c r="V22" s="189"/>
      <c r="W22" s="189"/>
      <c r="X22" s="189"/>
      <c r="Y22" s="189">
        <v>0.18344907407407</v>
      </c>
      <c r="Z22" s="189">
        <v>0.03668981481481</v>
      </c>
      <c r="AA22" s="189">
        <v>0.02445987654321</v>
      </c>
    </row>
    <row r="23" s="147" customFormat="1" spans="1:27">
      <c r="A23" s="195" t="s">
        <v>152</v>
      </c>
      <c r="B23" s="180" t="s">
        <v>153</v>
      </c>
      <c r="C23" s="196" t="s">
        <v>201</v>
      </c>
      <c r="D23" s="197" t="s">
        <v>204</v>
      </c>
      <c r="E23" s="197"/>
      <c r="F23" s="197" t="s">
        <v>157</v>
      </c>
      <c r="G23" s="181">
        <f t="shared" si="0"/>
        <v>0.40828924162258</v>
      </c>
      <c r="H23" s="198"/>
      <c r="I23" s="172"/>
      <c r="J23" s="198"/>
      <c r="K23" s="184">
        <f>G23-I23</f>
        <v>0.40828924162258</v>
      </c>
      <c r="L23" s="185">
        <f t="shared" si="3"/>
        <v>20414.462081129</v>
      </c>
      <c r="M23" s="202">
        <v>50000</v>
      </c>
      <c r="N23" s="176"/>
      <c r="O23" s="176"/>
      <c r="P23" s="176"/>
      <c r="Q23" s="189"/>
      <c r="R23" s="189"/>
      <c r="S23" s="189"/>
      <c r="T23" s="189"/>
      <c r="U23" s="189"/>
      <c r="V23" s="189"/>
      <c r="W23" s="189"/>
      <c r="X23" s="189"/>
      <c r="Y23" s="189">
        <v>0.30621693121693</v>
      </c>
      <c r="Z23" s="189">
        <v>0.06124338624339</v>
      </c>
      <c r="AA23" s="189">
        <v>0.04082892416226</v>
      </c>
    </row>
    <row r="24" s="147" customFormat="1" spans="1:27">
      <c r="A24" s="195" t="s">
        <v>152</v>
      </c>
      <c r="B24" s="180" t="s">
        <v>153</v>
      </c>
      <c r="C24" s="196" t="s">
        <v>205</v>
      </c>
      <c r="D24" s="197" t="s">
        <v>206</v>
      </c>
      <c r="E24" s="197"/>
      <c r="F24" s="197" t="s">
        <v>157</v>
      </c>
      <c r="G24" s="181">
        <f t="shared" si="0"/>
        <v>0.14770723104056</v>
      </c>
      <c r="H24" s="198"/>
      <c r="I24" s="172"/>
      <c r="J24" s="198"/>
      <c r="K24" s="184">
        <f>G24-I24</f>
        <v>0.14770723104056</v>
      </c>
      <c r="L24" s="185">
        <f t="shared" si="3"/>
        <v>12159.2592592589</v>
      </c>
      <c r="M24" s="202">
        <v>82320</v>
      </c>
      <c r="N24" s="176"/>
      <c r="O24" s="176"/>
      <c r="P24" s="176"/>
      <c r="Q24" s="189"/>
      <c r="R24" s="189"/>
      <c r="S24" s="189"/>
      <c r="T24" s="189"/>
      <c r="U24" s="189"/>
      <c r="V24" s="189"/>
      <c r="W24" s="189"/>
      <c r="X24" s="189"/>
      <c r="Y24" s="189">
        <v>0.11078042328042</v>
      </c>
      <c r="Z24" s="189">
        <v>0.02215608465608</v>
      </c>
      <c r="AA24" s="189">
        <v>0.01477072310406</v>
      </c>
    </row>
    <row r="25" s="147" customFormat="1" spans="1:27">
      <c r="A25" s="195"/>
      <c r="B25" s="180"/>
      <c r="C25" s="196"/>
      <c r="D25" s="197"/>
      <c r="E25" s="197"/>
      <c r="F25" s="197"/>
      <c r="G25" s="181"/>
      <c r="H25" s="198"/>
      <c r="I25" s="172"/>
      <c r="J25" s="198"/>
      <c r="K25" s="184"/>
      <c r="L25" s="185"/>
      <c r="M25" s="202"/>
      <c r="N25" s="176"/>
      <c r="O25" s="176"/>
      <c r="P25" s="176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</row>
    <row r="26" s="147" customFormat="1" spans="1:27">
      <c r="A26" s="195"/>
      <c r="B26" s="180"/>
      <c r="C26" s="196"/>
      <c r="D26" s="197"/>
      <c r="E26" s="197"/>
      <c r="F26" s="197"/>
      <c r="G26" s="181"/>
      <c r="H26" s="198"/>
      <c r="I26" s="172"/>
      <c r="J26" s="198"/>
      <c r="K26" s="184"/>
      <c r="L26" s="185"/>
      <c r="M26" s="202"/>
      <c r="N26" s="176"/>
      <c r="O26" s="176"/>
      <c r="P26" s="176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</row>
    <row r="27" s="147" customFormat="1" spans="1:27">
      <c r="A27" s="195"/>
      <c r="B27" s="180"/>
      <c r="C27" s="196"/>
      <c r="D27" s="197"/>
      <c r="E27" s="197"/>
      <c r="F27" s="197"/>
      <c r="G27" s="181"/>
      <c r="H27" s="198"/>
      <c r="I27" s="172"/>
      <c r="J27" s="198"/>
      <c r="K27" s="184"/>
      <c r="L27" s="185"/>
      <c r="M27" s="202"/>
      <c r="N27" s="176"/>
      <c r="O27" s="176"/>
      <c r="P27" s="176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</row>
    <row r="28" s="147" customFormat="1" spans="1:27">
      <c r="A28" s="195"/>
      <c r="B28" s="180"/>
      <c r="C28" s="196"/>
      <c r="D28" s="197"/>
      <c r="E28" s="197"/>
      <c r="F28" s="197"/>
      <c r="G28" s="181"/>
      <c r="H28" s="198"/>
      <c r="I28" s="172"/>
      <c r="J28" s="198"/>
      <c r="K28" s="184"/>
      <c r="L28" s="185"/>
      <c r="M28" s="202"/>
      <c r="N28" s="176"/>
      <c r="O28" s="176"/>
      <c r="P28" s="176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</row>
    <row r="29" s="147" customFormat="1" spans="1:27">
      <c r="A29" s="195"/>
      <c r="B29" s="180"/>
      <c r="C29" s="196"/>
      <c r="D29" s="197"/>
      <c r="E29" s="197"/>
      <c r="F29" s="197"/>
      <c r="G29" s="181"/>
      <c r="H29" s="198"/>
      <c r="I29" s="172"/>
      <c r="J29" s="198"/>
      <c r="K29" s="184"/>
      <c r="L29" s="185"/>
      <c r="M29" s="202"/>
      <c r="N29" s="176"/>
      <c r="O29" s="176"/>
      <c r="P29" s="176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</row>
    <row r="30" s="147" customFormat="1" spans="1:27">
      <c r="A30" s="195"/>
      <c r="B30" s="180"/>
      <c r="C30" s="196"/>
      <c r="D30" s="197"/>
      <c r="E30" s="197"/>
      <c r="F30" s="197"/>
      <c r="G30" s="181"/>
      <c r="H30" s="198"/>
      <c r="I30" s="172"/>
      <c r="J30" s="198"/>
      <c r="K30" s="184"/>
      <c r="L30" s="185"/>
      <c r="M30" s="202"/>
      <c r="N30" s="176"/>
      <c r="O30" s="176"/>
      <c r="P30" s="176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</row>
    <row r="31" ht="15" customHeight="1" spans="1:27">
      <c r="A31" s="203"/>
      <c r="B31" s="204"/>
      <c r="C31" s="204"/>
      <c r="D31" s="204"/>
      <c r="E31" s="204"/>
      <c r="F31" s="204"/>
      <c r="G31" s="205" t="s">
        <v>207</v>
      </c>
      <c r="H31" s="206">
        <f>SUM(L4:L30)</f>
        <v>4253424.63937653</v>
      </c>
      <c r="I31" s="206"/>
      <c r="J31" s="207" t="s">
        <v>208</v>
      </c>
      <c r="K31" s="208" t="e">
        <f>H31/10*6/#REF!</f>
        <v>#REF!</v>
      </c>
      <c r="L31" s="209"/>
      <c r="M31" s="210"/>
      <c r="N31" s="211"/>
      <c r="O31" s="211"/>
      <c r="P31" s="211"/>
      <c r="Q31" s="211" t="e" cm="1">
        <f t="array" ref="Q31">SUMPRODUCT(Q4:Q29,$M$4:$M$29)/10*6/Q45</f>
        <v>#REF!</v>
      </c>
      <c r="R31" s="211" t="e" cm="1">
        <f t="array" ref="R31">SUMPRODUCT(R4:R29,$M$4:$M$29)/10*6/R45</f>
        <v>#REF!</v>
      </c>
      <c r="S31" s="211" t="e" cm="1">
        <f t="array" ref="S31">SUMPRODUCT(S4:S29,$M$4:$M$29)/10*6/S45</f>
        <v>#REF!</v>
      </c>
      <c r="T31" s="211" t="e" cm="1">
        <f t="array" ref="T31">SUMPRODUCT(T4:T29,$M$4:$M$29)/10*6/T45</f>
        <v>#REF!</v>
      </c>
      <c r="U31" s="211" t="e" cm="1">
        <f t="array" ref="U31">SUMPRODUCT(U4:U29,$M$4:$M$29)/10*6/U45</f>
        <v>#REF!</v>
      </c>
      <c r="V31" s="211" t="e" cm="1">
        <f t="array" ref="V31">SUMPRODUCT(V4:V29,$M$4:$M$29)/10*6/V45</f>
        <v>#REF!</v>
      </c>
      <c r="W31" s="211" t="e" cm="1">
        <f t="array" ref="W31">SUMPRODUCT(W4:W29,$M$4:$M$29)/10*6/W45</f>
        <v>#REF!</v>
      </c>
      <c r="X31" s="211" t="e" cm="1">
        <f t="array" ref="X31">SUMPRODUCT(X4:X29,$M$4:$M$29)/10*6/X45</f>
        <v>#REF!</v>
      </c>
      <c r="Y31" s="211" t="e" cm="1">
        <f t="array" ref="Y31">SUMPRODUCT(Y4:Y29,$M$4:$M$29)/10*6/Y45</f>
        <v>#REF!</v>
      </c>
      <c r="Z31" s="211" t="e" cm="1">
        <f t="array" ref="Z31">SUMPRODUCT(Z4:Z29,$M$4:$M$29)/10*6/Z45</f>
        <v>#REF!</v>
      </c>
      <c r="AA31" s="211" t="e" cm="1">
        <f t="array" ref="AA31">SUMPRODUCT(AA4:AA29,$M$4:$M$29)/10*6/AA45</f>
        <v>#REF!</v>
      </c>
    </row>
    <row r="32" ht="30.75" customHeight="1" spans="1:27">
      <c r="A32" s="212" t="s">
        <v>209</v>
      </c>
      <c r="B32" s="213"/>
      <c r="C32" s="213"/>
      <c r="D32" s="213"/>
      <c r="E32" s="213"/>
      <c r="F32" s="213"/>
      <c r="G32" s="213"/>
      <c r="H32" s="213"/>
      <c r="I32" s="213"/>
      <c r="J32" s="213"/>
      <c r="K32" s="214"/>
      <c r="L32" s="214"/>
      <c r="M32" s="215"/>
      <c r="N32" s="216"/>
      <c r="O32" s="216"/>
      <c r="P32" s="216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</row>
    <row r="33" ht="33" customHeight="1" spans="1:27">
      <c r="A33" s="218" t="s">
        <v>210</v>
      </c>
      <c r="B33" s="219" t="s">
        <v>211</v>
      </c>
      <c r="C33" s="219" t="s">
        <v>212</v>
      </c>
      <c r="D33" s="111" t="s">
        <v>213</v>
      </c>
      <c r="E33" s="111" t="s">
        <v>187</v>
      </c>
      <c r="F33" s="111" t="s">
        <v>179</v>
      </c>
      <c r="G33" s="181">
        <f>SUM(Q33:AA33)</f>
        <v>35</v>
      </c>
      <c r="H33" s="220"/>
      <c r="I33" s="221"/>
      <c r="J33" s="220"/>
      <c r="K33" s="191">
        <v>5</v>
      </c>
      <c r="L33" s="191">
        <f>K33*M33</f>
        <v>23000</v>
      </c>
      <c r="M33" s="222">
        <v>4600</v>
      </c>
      <c r="N33" s="223" t="s">
        <v>214</v>
      </c>
      <c r="O33" s="224" t="s">
        <v>215</v>
      </c>
      <c r="P33" s="225"/>
      <c r="Q33" s="189">
        <v>2.60869565217391</v>
      </c>
      <c r="R33" s="189">
        <v>0.521739130434784</v>
      </c>
      <c r="S33" s="189">
        <v>0.347826086956522</v>
      </c>
      <c r="T33" s="189">
        <v>0.521739130434784</v>
      </c>
      <c r="U33" s="189">
        <v>3.4</v>
      </c>
      <c r="V33" s="189">
        <v>0.6</v>
      </c>
      <c r="W33" s="189">
        <v>0.70588235294118</v>
      </c>
      <c r="X33" s="189">
        <v>5.29411764705882</v>
      </c>
      <c r="Y33" s="189">
        <v>15.75</v>
      </c>
      <c r="Z33" s="189">
        <v>3.15</v>
      </c>
      <c r="AA33" s="189">
        <v>2.1</v>
      </c>
    </row>
    <row r="34" ht="66" customHeight="1" spans="1:27">
      <c r="A34" s="218" t="s">
        <v>210</v>
      </c>
      <c r="B34" s="219" t="s">
        <v>211</v>
      </c>
      <c r="C34" s="219" t="s">
        <v>216</v>
      </c>
      <c r="D34" s="111" t="s">
        <v>217</v>
      </c>
      <c r="E34" s="111" t="s">
        <v>218</v>
      </c>
      <c r="F34" s="111" t="s">
        <v>179</v>
      </c>
      <c r="G34" s="181">
        <f>SUM(Q34:AA34)</f>
        <v>2</v>
      </c>
      <c r="H34" s="220"/>
      <c r="I34" s="221"/>
      <c r="J34" s="220"/>
      <c r="K34" s="191">
        <v>1</v>
      </c>
      <c r="L34" s="191">
        <f>K34*M34</f>
        <v>23500</v>
      </c>
      <c r="M34" s="222">
        <v>23500</v>
      </c>
      <c r="N34" s="223" t="s">
        <v>219</v>
      </c>
      <c r="O34" s="225"/>
      <c r="P34" s="225"/>
      <c r="Q34" s="189"/>
      <c r="R34" s="189"/>
      <c r="S34" s="189"/>
      <c r="T34" s="189"/>
      <c r="U34" s="189"/>
      <c r="V34" s="189"/>
      <c r="W34" s="189"/>
      <c r="X34" s="189"/>
      <c r="Y34" s="189">
        <v>1.5</v>
      </c>
      <c r="Z34" s="189">
        <v>0.3</v>
      </c>
      <c r="AA34" s="189">
        <v>0.2</v>
      </c>
    </row>
    <row r="35" ht="15.75" customHeight="1" spans="1:27">
      <c r="A35" s="179" t="s">
        <v>210</v>
      </c>
      <c r="B35" s="219" t="s">
        <v>211</v>
      </c>
      <c r="C35" s="219" t="s">
        <v>220</v>
      </c>
      <c r="D35" s="111" t="s">
        <v>221</v>
      </c>
      <c r="E35" s="111" t="s">
        <v>187</v>
      </c>
      <c r="F35" s="111" t="s">
        <v>179</v>
      </c>
      <c r="G35" s="181">
        <f>SUM(Q35:AA35)</f>
        <v>7</v>
      </c>
      <c r="H35" s="220"/>
      <c r="I35" s="221"/>
      <c r="J35" s="220"/>
      <c r="K35" s="191">
        <v>0</v>
      </c>
      <c r="L35" s="191">
        <f>K35*M35</f>
        <v>0</v>
      </c>
      <c r="M35" s="222">
        <v>150000</v>
      </c>
      <c r="N35" s="226"/>
      <c r="O35" s="225" t="s">
        <v>222</v>
      </c>
      <c r="P35" s="225"/>
      <c r="Q35" s="189">
        <v>0.652173913043478</v>
      </c>
      <c r="R35" s="189">
        <v>0.130434782608696</v>
      </c>
      <c r="S35" s="189">
        <v>0.0869565217391304</v>
      </c>
      <c r="T35" s="189">
        <v>0.130434782608696</v>
      </c>
      <c r="U35" s="189">
        <v>0.85</v>
      </c>
      <c r="V35" s="189">
        <v>0.15</v>
      </c>
      <c r="W35" s="189">
        <v>0.23529411764706</v>
      </c>
      <c r="X35" s="189">
        <v>1.76470588235294</v>
      </c>
      <c r="Y35" s="189">
        <v>2.25</v>
      </c>
      <c r="Z35" s="189">
        <v>0.45</v>
      </c>
      <c r="AA35" s="189">
        <v>0.3</v>
      </c>
    </row>
    <row r="36" ht="15.75" customHeight="1" spans="1:27">
      <c r="A36" s="179"/>
      <c r="B36" s="219"/>
      <c r="C36" s="219"/>
      <c r="D36" s="111"/>
      <c r="E36" s="111"/>
      <c r="F36" s="111"/>
      <c r="G36" s="181"/>
      <c r="H36" s="220"/>
      <c r="I36" s="221"/>
      <c r="J36" s="220"/>
      <c r="K36" s="185">
        <f>G36-I36</f>
        <v>0</v>
      </c>
      <c r="L36" s="185">
        <f>K36*M36</f>
        <v>0</v>
      </c>
      <c r="M36" s="227"/>
      <c r="N36" s="224"/>
      <c r="O36" s="225"/>
      <c r="P36" s="225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</row>
    <row r="37" ht="15.75" customHeight="1" spans="1:27">
      <c r="A37" s="179"/>
      <c r="B37" s="219"/>
      <c r="C37" s="219"/>
      <c r="D37" s="111"/>
      <c r="E37" s="111"/>
      <c r="F37" s="111"/>
      <c r="G37" s="181"/>
      <c r="H37" s="220"/>
      <c r="I37" s="221"/>
      <c r="J37" s="220"/>
      <c r="K37" s="185"/>
      <c r="L37" s="185"/>
      <c r="M37" s="227"/>
      <c r="N37" s="224"/>
      <c r="O37" s="225"/>
      <c r="P37" s="225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</row>
    <row r="38" ht="15.75" customHeight="1" spans="1:27">
      <c r="A38" s="179"/>
      <c r="B38" s="219"/>
      <c r="C38" s="219"/>
      <c r="D38" s="111"/>
      <c r="E38" s="111"/>
      <c r="F38" s="111"/>
      <c r="G38" s="181"/>
      <c r="H38" s="220"/>
      <c r="I38" s="221"/>
      <c r="J38" s="220"/>
      <c r="K38" s="185"/>
      <c r="L38" s="185"/>
      <c r="M38" s="227"/>
      <c r="N38" s="224"/>
      <c r="O38" s="224"/>
      <c r="P38" s="224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</row>
    <row r="39" ht="15.75" customHeight="1" spans="1:27">
      <c r="A39" s="179"/>
      <c r="B39" s="219"/>
      <c r="C39" s="219"/>
      <c r="D39" s="111"/>
      <c r="E39" s="111"/>
      <c r="F39" s="111" t="s">
        <v>223</v>
      </c>
      <c r="G39" s="181"/>
      <c r="H39" s="228"/>
      <c r="I39" s="229"/>
      <c r="J39" s="230"/>
      <c r="K39" s="185">
        <f>G39-I39</f>
        <v>0</v>
      </c>
      <c r="L39" s="185">
        <f>K39*M39</f>
        <v>0</v>
      </c>
      <c r="M39" s="231"/>
      <c r="N39" s="232"/>
      <c r="O39" s="232"/>
      <c r="P39" s="232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</row>
    <row r="40" ht="15" customHeight="1" spans="1:27">
      <c r="A40" s="233"/>
      <c r="B40" s="234"/>
      <c r="C40" s="234"/>
      <c r="D40" s="197"/>
      <c r="E40" s="197"/>
      <c r="F40" s="234"/>
      <c r="G40" s="235"/>
      <c r="H40" s="198"/>
      <c r="I40" s="235"/>
      <c r="J40" s="236"/>
      <c r="K40" s="237"/>
      <c r="L40" s="174"/>
      <c r="M40" s="238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</row>
    <row r="41" ht="15" customHeight="1" spans="1:27">
      <c r="A41" s="240"/>
      <c r="B41" s="240"/>
      <c r="C41" s="240"/>
      <c r="D41" s="240"/>
      <c r="E41" s="240"/>
      <c r="F41" s="240"/>
      <c r="G41" s="240" t="s">
        <v>207</v>
      </c>
      <c r="H41" s="241">
        <f>SUM(L33:L40)</f>
        <v>46500</v>
      </c>
      <c r="I41" s="242" t="s">
        <v>208</v>
      </c>
      <c r="J41" s="243" t="e">
        <f>H41/#REF!</f>
        <v>#REF!</v>
      </c>
      <c r="K41" s="244"/>
      <c r="L41" s="245"/>
      <c r="M41" s="246"/>
      <c r="N41" s="242"/>
      <c r="O41" s="242"/>
      <c r="P41" s="242"/>
      <c r="Q41" s="247" t="e" cm="1">
        <f t="array" ref="Q41">SUMPRODUCT(Q33:Q39,$M$33:$M$39)/Q45</f>
        <v>#REF!</v>
      </c>
      <c r="R41" s="247" t="e" cm="1">
        <f t="array" ref="R41">SUMPRODUCT(R33:R39,$M$33:$M$39)/R45</f>
        <v>#REF!</v>
      </c>
      <c r="S41" s="247" t="e" cm="1">
        <f t="array" ref="S41">SUMPRODUCT(S33:S39,$M$33:$M$39)/S45</f>
        <v>#REF!</v>
      </c>
      <c r="T41" s="247" t="e" cm="1">
        <f t="array" ref="T41">SUMPRODUCT(T33:T39,$M$33:$M$39)/T45</f>
        <v>#REF!</v>
      </c>
      <c r="U41" s="247" t="e" cm="1">
        <f t="array" ref="U41">SUMPRODUCT(U33:U39,$M$33:$M$39)/U45</f>
        <v>#REF!</v>
      </c>
      <c r="V41" s="247" t="e" cm="1">
        <f t="array" ref="V41">SUMPRODUCT(V33:V39,$M$33:$M$39)/V45</f>
        <v>#REF!</v>
      </c>
      <c r="W41" s="247" t="e" cm="1">
        <f t="array" ref="W41">SUMPRODUCT(W33:W39,$M$33:$M$39)/W45</f>
        <v>#REF!</v>
      </c>
      <c r="X41" s="247" t="e" cm="1">
        <f t="array" ref="X41">SUMPRODUCT(X33:X39,$M$33:$M$39)/X45</f>
        <v>#REF!</v>
      </c>
      <c r="Y41" s="247" t="e" cm="1">
        <f t="array" ref="Y41">SUMPRODUCT(Y33:Y39,$M$33:$M$39)/Y45</f>
        <v>#REF!</v>
      </c>
      <c r="Z41" s="247" t="e" cm="1">
        <f t="array" ref="Z41">SUMPRODUCT(Z33:Z39,$M$33:$M$39)/Z45</f>
        <v>#REF!</v>
      </c>
      <c r="AA41" s="247" t="e" cm="1">
        <f t="array" ref="AA41">SUMPRODUCT(AA33:AA39,$M$33:$M$39)/AA45</f>
        <v>#REF!</v>
      </c>
    </row>
    <row r="42" ht="15" customHeight="1" spans="1:27">
      <c r="D42" s="148"/>
      <c r="E42" s="148"/>
      <c r="G42" s="148"/>
      <c r="H42" s="148"/>
      <c r="I42" s="148"/>
      <c r="J42" s="148"/>
      <c r="K42" s="248"/>
      <c r="L42" s="248"/>
      <c r="M42" s="249"/>
      <c r="N42" s="148"/>
      <c r="O42" s="148"/>
      <c r="P42" s="148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</row>
    <row r="43" s="148" customFormat="1" ht="20.1" customHeight="1" spans="1:27">
      <c r="K43" s="248"/>
      <c r="L43" s="248"/>
      <c r="M43" s="249" t="s">
        <v>224</v>
      </c>
      <c r="N43" s="251" t="s">
        <v>82</v>
      </c>
      <c r="O43" s="251"/>
      <c r="P43" s="251"/>
      <c r="Q43" s="250" t="e">
        <f>#REF!</f>
        <v>#REF!</v>
      </c>
      <c r="R43" s="250" t="e">
        <f>#REF!</f>
        <v>#REF!</v>
      </c>
      <c r="S43" s="250" t="e">
        <f>#REF!</f>
        <v>#REF!</v>
      </c>
      <c r="T43" s="250" t="e">
        <f>#REF!</f>
        <v>#REF!</v>
      </c>
      <c r="U43" s="250" t="e">
        <f>#REF!</f>
        <v>#REF!</v>
      </c>
      <c r="V43" s="250" t="e">
        <f>#REF!</f>
        <v>#REF!</v>
      </c>
      <c r="W43" s="250" t="e">
        <f>#REF!</f>
        <v>#REF!</v>
      </c>
      <c r="X43" s="250" t="e">
        <f>#REF!</f>
        <v>#REF!</v>
      </c>
      <c r="Y43" s="250" t="e">
        <f>#REF!</f>
        <v>#REF!</v>
      </c>
      <c r="Z43" s="250" t="e">
        <f>#REF!</f>
        <v>#REF!</v>
      </c>
      <c r="AA43" s="250" t="e">
        <f>#REF!</f>
        <v>#REF!</v>
      </c>
    </row>
    <row r="44" s="148" customFormat="1" ht="20.1" customHeight="1" spans="1:27">
      <c r="K44" s="248"/>
      <c r="L44" s="248"/>
      <c r="M44" s="249"/>
      <c r="N44" s="251" t="s">
        <v>225</v>
      </c>
      <c r="O44" s="251"/>
      <c r="P44" s="251"/>
      <c r="Q44" s="252" t="e">
        <f>#REF!</f>
        <v>#REF!</v>
      </c>
      <c r="R44" s="252" t="e">
        <f>#REF!</f>
        <v>#REF!</v>
      </c>
      <c r="S44" s="252" t="e">
        <f>#REF!</f>
        <v>#REF!</v>
      </c>
      <c r="T44" s="252" t="e">
        <f>#REF!</f>
        <v>#REF!</v>
      </c>
      <c r="U44" s="252" t="e">
        <f>#REF!</f>
        <v>#REF!</v>
      </c>
      <c r="V44" s="252" t="e">
        <f>#REF!</f>
        <v>#REF!</v>
      </c>
      <c r="W44" s="252" t="e">
        <f>#REF!</f>
        <v>#REF!</v>
      </c>
      <c r="X44" s="252" t="e">
        <f>#REF!</f>
        <v>#REF!</v>
      </c>
      <c r="Y44" s="252" t="e">
        <f>#REF!</f>
        <v>#REF!</v>
      </c>
      <c r="Z44" s="252" t="e">
        <f>#REF!</f>
        <v>#REF!</v>
      </c>
      <c r="AA44" s="252" t="e">
        <f>#REF!</f>
        <v>#REF!</v>
      </c>
    </row>
    <row r="45" s="148" customFormat="1" ht="20.1" customHeight="1" spans="1:27">
      <c r="A45" s="148" t="s">
        <v>226</v>
      </c>
      <c r="K45" s="248"/>
      <c r="L45" s="248"/>
      <c r="M45" s="249"/>
      <c r="N45" s="251" t="s">
        <v>150</v>
      </c>
      <c r="O45" s="251"/>
      <c r="P45" s="251"/>
      <c r="Q45" s="148" t="e">
        <f>Q44*Q43</f>
        <v>#REF!</v>
      </c>
      <c r="R45" s="148" t="e">
        <f t="shared" ref="R45:AA45" si="4">R44*R43</f>
        <v>#REF!</v>
      </c>
      <c r="S45" s="148" t="e">
        <f t="shared" si="4"/>
        <v>#REF!</v>
      </c>
      <c r="T45" s="148" t="e">
        <f t="shared" si="4"/>
        <v>#REF!</v>
      </c>
      <c r="U45" s="148" t="e">
        <f t="shared" si="4"/>
        <v>#REF!</v>
      </c>
      <c r="V45" s="148" t="e">
        <f t="shared" si="4"/>
        <v>#REF!</v>
      </c>
      <c r="W45" s="148" t="e">
        <f t="shared" si="4"/>
        <v>#REF!</v>
      </c>
      <c r="X45" s="148" t="e">
        <f t="shared" si="4"/>
        <v>#REF!</v>
      </c>
      <c r="Y45" s="148" t="e">
        <f t="shared" si="4"/>
        <v>#REF!</v>
      </c>
      <c r="Z45" s="148" t="e">
        <f t="shared" si="4"/>
        <v>#REF!</v>
      </c>
      <c r="AA45" s="148" t="e">
        <f t="shared" si="4"/>
        <v>#REF!</v>
      </c>
    </row>
    <row r="46" s="148" customFormat="1" ht="20.1" customHeight="1" spans="1:27">
      <c r="A46" s="148" t="s">
        <v>227</v>
      </c>
      <c r="K46" s="248"/>
      <c r="L46" s="248"/>
      <c r="M46" s="249"/>
      <c r="Q46" s="250"/>
    </row>
    <row r="47" s="148" customFormat="1" ht="20.1" customHeight="1" spans="1:27">
      <c r="A47" s="253" t="s">
        <v>228</v>
      </c>
      <c r="K47" s="248"/>
      <c r="L47" s="248"/>
      <c r="M47" s="249"/>
      <c r="Q47" s="250"/>
    </row>
    <row r="48" s="148" customFormat="1" ht="20.1" customHeight="1" spans="1:27">
      <c r="A48" s="148" t="s">
        <v>229</v>
      </c>
      <c r="K48" s="248"/>
      <c r="L48" s="248"/>
      <c r="M48" s="249"/>
      <c r="Q48" s="250" t="e">
        <f>Q41+项目专用模具!O14+'项目工装投入 '!O15</f>
        <v>#REF!</v>
      </c>
      <c r="R48" s="250" t="e">
        <f>R41+项目专用模具!P14+'项目工装投入 '!P15</f>
        <v>#REF!</v>
      </c>
      <c r="S48" s="250" t="e">
        <f>S41+项目专用模具!Q14+'项目工装投入 '!Q15</f>
        <v>#REF!</v>
      </c>
      <c r="T48" s="250" t="e">
        <f>T41+项目专用模具!R14+'项目工装投入 '!R15</f>
        <v>#REF!</v>
      </c>
      <c r="U48" s="250" t="e">
        <f>U41+项目专用模具!S14+'项目工装投入 '!S15</f>
        <v>#REF!</v>
      </c>
      <c r="V48" s="250" t="e">
        <f>V41+项目专用模具!T14+'项目工装投入 '!T15</f>
        <v>#REF!</v>
      </c>
      <c r="W48" s="250" t="e">
        <f>W41+项目专用模具!U14+'项目工装投入 '!U15</f>
        <v>#REF!</v>
      </c>
      <c r="X48" s="250" t="e">
        <f>X41+项目专用模具!V14+'项目工装投入 '!V15</f>
        <v>#REF!</v>
      </c>
      <c r="Y48" s="250" t="e">
        <f>Y41+项目专用模具!W14+'项目工装投入 '!W15</f>
        <v>#REF!</v>
      </c>
      <c r="Z48" s="250" t="e">
        <f>Z41+项目专用模具!X14+'项目工装投入 '!X15</f>
        <v>#REF!</v>
      </c>
      <c r="AA48" s="250" t="e">
        <f>AA41+项目专用模具!Y14+'项目工装投入 '!Y15</f>
        <v>#REF!</v>
      </c>
    </row>
    <row r="49" s="148" customFormat="1" ht="20.1" customHeight="1" spans="4:17">
      <c r="K49" s="248"/>
      <c r="L49" s="248"/>
      <c r="M49" s="249"/>
      <c r="O49" s="248" t="e" cm="1">
        <f t="array" ref="O49">SUMPRODUCT(Q41:AA41,Q43:AA43)</f>
        <v>#REF!</v>
      </c>
      <c r="Q49" s="250"/>
    </row>
    <row r="50" s="148" customFormat="1" ht="20.1" customHeight="1" spans="4:17">
      <c r="K50" s="248"/>
      <c r="L50" s="248"/>
      <c r="M50" s="249"/>
      <c r="Q50" s="250"/>
    </row>
    <row r="51" s="148" customFormat="1" ht="20.1" customHeight="1" spans="4:17">
      <c r="D51" s="149"/>
      <c r="E51" s="149"/>
      <c r="K51" s="248"/>
      <c r="L51" s="248"/>
      <c r="M51" s="249"/>
      <c r="Q51" s="250"/>
    </row>
    <row r="52" s="148" customFormat="1" ht="20.1" customHeight="1" spans="4:17">
      <c r="D52" s="149"/>
      <c r="E52" s="149"/>
      <c r="K52" s="248"/>
      <c r="L52" s="248"/>
      <c r="M52" s="249"/>
      <c r="Q52" s="250"/>
    </row>
    <row r="53" s="148" customFormat="1" ht="20.1" customHeight="1" spans="4:17">
      <c r="D53" s="149"/>
      <c r="E53" s="149"/>
      <c r="K53" s="248"/>
      <c r="L53" s="248"/>
      <c r="M53" s="249"/>
      <c r="Q53" s="250"/>
    </row>
    <row r="54" s="148" customFormat="1" ht="20.1" customHeight="1" spans="4:17">
      <c r="D54" s="149"/>
      <c r="E54" s="149"/>
      <c r="K54" s="248"/>
      <c r="L54" s="248"/>
      <c r="M54" s="249"/>
      <c r="Q54" s="250"/>
    </row>
    <row r="55" s="148" customFormat="1" ht="20.1" customHeight="1" spans="4:17">
      <c r="D55" s="149"/>
      <c r="E55" s="149"/>
      <c r="K55" s="248"/>
      <c r="L55" s="248"/>
      <c r="M55" s="249"/>
      <c r="Q55" s="250"/>
    </row>
    <row r="56" s="148" customFormat="1" ht="20.1" customHeight="1" spans="4:17">
      <c r="D56" s="149"/>
      <c r="E56" s="149"/>
      <c r="K56" s="248"/>
      <c r="L56" s="248"/>
      <c r="M56" s="249"/>
      <c r="Q56" s="250"/>
    </row>
    <row r="57" s="148" customFormat="1" ht="20.1" customHeight="1" spans="4:17">
      <c r="D57" s="149"/>
      <c r="E57" s="149"/>
      <c r="K57" s="248"/>
      <c r="L57" s="248"/>
      <c r="M57" s="249"/>
      <c r="Q57" s="250"/>
    </row>
    <row r="58" s="148" customFormat="1" ht="20.1" customHeight="1" spans="4:17">
      <c r="D58" s="149"/>
      <c r="E58" s="149"/>
      <c r="K58" s="248"/>
      <c r="L58" s="248"/>
      <c r="M58" s="249"/>
      <c r="Q58" s="250"/>
    </row>
    <row r="59" s="148" customFormat="1" ht="20.1" customHeight="1" spans="4:17">
      <c r="D59" s="149"/>
      <c r="E59" s="149"/>
      <c r="K59" s="248"/>
      <c r="L59" s="248"/>
      <c r="M59" s="249"/>
      <c r="Q59" s="250"/>
    </row>
    <row r="60" s="148" customFormat="1" ht="20.1" customHeight="1" spans="4:17">
      <c r="D60" s="149"/>
      <c r="E60" s="149"/>
      <c r="K60" s="248"/>
      <c r="L60" s="248"/>
      <c r="M60" s="249"/>
      <c r="Q60" s="250"/>
    </row>
    <row r="61" s="148" customFormat="1" ht="20.1" customHeight="1" spans="4:17">
      <c r="D61" s="149"/>
      <c r="E61" s="149"/>
      <c r="K61" s="248"/>
      <c r="L61" s="248"/>
      <c r="M61" s="249"/>
      <c r="Q61" s="250"/>
    </row>
    <row r="62" s="148" customFormat="1" ht="20.1" customHeight="1" spans="4:17">
      <c r="D62" s="149"/>
      <c r="E62" s="149"/>
      <c r="K62" s="248"/>
      <c r="L62" s="248"/>
      <c r="M62" s="249"/>
      <c r="Q62" s="250"/>
    </row>
    <row r="63" s="148" customFormat="1" ht="20.1" customHeight="1" spans="4:17">
      <c r="D63" s="149"/>
      <c r="E63" s="149"/>
      <c r="K63" s="248"/>
      <c r="L63" s="248"/>
      <c r="M63" s="249"/>
      <c r="Q63" s="250"/>
    </row>
    <row r="64" s="148" customFormat="1" ht="20.1" customHeight="1" spans="4:17">
      <c r="D64" s="149"/>
      <c r="E64" s="149"/>
      <c r="K64" s="248"/>
      <c r="L64" s="248"/>
      <c r="M64" s="249"/>
      <c r="Q64" s="250"/>
    </row>
    <row r="65" s="148" customFormat="1" ht="20.1" customHeight="1" spans="4:17">
      <c r="D65" s="149"/>
      <c r="E65" s="149"/>
      <c r="K65" s="248"/>
      <c r="L65" s="248"/>
      <c r="M65" s="249"/>
      <c r="Q65" s="250"/>
    </row>
    <row r="66" s="148" customFormat="1" ht="20.1" customHeight="1" spans="4:17">
      <c r="D66" s="149"/>
      <c r="E66" s="149"/>
      <c r="K66" s="248"/>
      <c r="L66" s="248"/>
      <c r="M66" s="249"/>
      <c r="Q66" s="250"/>
    </row>
    <row r="67" s="148" customFormat="1" ht="20.1" customHeight="1" spans="4:17">
      <c r="D67" s="149"/>
      <c r="E67" s="149"/>
      <c r="K67" s="248"/>
      <c r="L67" s="248"/>
      <c r="M67" s="249"/>
      <c r="Q67" s="250"/>
    </row>
    <row r="68" s="148" customFormat="1" ht="20.1" customHeight="1" spans="4:17">
      <c r="D68" s="149"/>
      <c r="E68" s="149"/>
      <c r="K68" s="248"/>
      <c r="L68" s="248"/>
      <c r="M68" s="249"/>
      <c r="Q68" s="250"/>
    </row>
    <row r="69" s="148" customFormat="1" ht="20.1" customHeight="1" spans="4:17">
      <c r="D69" s="149"/>
      <c r="E69" s="149"/>
      <c r="K69" s="248"/>
      <c r="L69" s="248"/>
      <c r="M69" s="249"/>
      <c r="Q69" s="250"/>
    </row>
    <row r="70" s="148" customFormat="1" ht="20.1" customHeight="1" spans="4:17">
      <c r="D70" s="149"/>
      <c r="E70" s="149"/>
      <c r="K70" s="248"/>
      <c r="L70" s="248"/>
      <c r="M70" s="249"/>
      <c r="Q70" s="250"/>
    </row>
    <row r="71" s="148" customFormat="1" ht="20.1" customHeight="1" spans="4:17">
      <c r="D71" s="149"/>
      <c r="E71" s="149"/>
      <c r="K71" s="248"/>
      <c r="L71" s="248"/>
      <c r="M71" s="249"/>
      <c r="Q71" s="250"/>
    </row>
    <row r="72" s="148" customFormat="1" ht="20.1" customHeight="1" spans="4:17">
      <c r="D72" s="149"/>
      <c r="E72" s="149"/>
      <c r="K72" s="248"/>
      <c r="L72" s="248"/>
      <c r="M72" s="249"/>
      <c r="Q72" s="250"/>
    </row>
    <row r="73" s="148" customFormat="1" ht="20.1" customHeight="1" spans="4:17">
      <c r="D73" s="149"/>
      <c r="E73" s="149"/>
      <c r="K73" s="248"/>
      <c r="L73" s="248"/>
      <c r="M73" s="249"/>
      <c r="Q73" s="250"/>
    </row>
    <row r="74" s="148" customFormat="1" ht="20.1" customHeight="1" spans="4:17">
      <c r="D74" s="149"/>
      <c r="E74" s="149"/>
      <c r="K74" s="248"/>
      <c r="L74" s="248"/>
      <c r="M74" s="249"/>
      <c r="Q74" s="250"/>
    </row>
    <row r="75" s="148" customFormat="1" ht="20.1" customHeight="1" spans="4:17">
      <c r="D75" s="149"/>
      <c r="E75" s="149"/>
      <c r="K75" s="248"/>
      <c r="L75" s="248"/>
      <c r="M75" s="249"/>
      <c r="Q75" s="250"/>
    </row>
    <row r="76" s="148" customFormat="1" ht="20.1" customHeight="1" spans="4:17">
      <c r="D76" s="149"/>
      <c r="E76" s="149"/>
      <c r="K76" s="248"/>
      <c r="L76" s="248"/>
      <c r="M76" s="249"/>
      <c r="Q76" s="250"/>
    </row>
    <row r="77" s="148" customFormat="1" ht="20.1" customHeight="1" spans="4:17">
      <c r="D77" s="149"/>
      <c r="E77" s="149"/>
      <c r="K77" s="248"/>
      <c r="L77" s="248"/>
      <c r="M77" s="249"/>
      <c r="Q77" s="250"/>
    </row>
    <row r="78" s="148" customFormat="1" ht="20.1" customHeight="1" spans="4:17">
      <c r="D78" s="149"/>
      <c r="E78" s="149"/>
      <c r="K78" s="248"/>
      <c r="L78" s="248"/>
      <c r="M78" s="249"/>
      <c r="Q78" s="250"/>
    </row>
    <row r="79" s="148" customFormat="1" ht="20.1" customHeight="1" spans="4:17">
      <c r="D79" s="149"/>
      <c r="E79" s="149"/>
      <c r="K79" s="248"/>
      <c r="L79" s="248"/>
      <c r="M79" s="249"/>
      <c r="Q79" s="250"/>
    </row>
    <row r="80" s="148" customFormat="1" ht="20.1" customHeight="1" spans="4:17">
      <c r="D80" s="149"/>
      <c r="E80" s="149"/>
      <c r="K80" s="248"/>
      <c r="L80" s="248"/>
      <c r="M80" s="249"/>
      <c r="Q80" s="250"/>
    </row>
    <row r="81" s="148" customFormat="1" ht="20.1" customHeight="1" spans="4:17">
      <c r="D81" s="149"/>
      <c r="E81" s="149"/>
      <c r="K81" s="248"/>
      <c r="L81" s="248"/>
      <c r="M81" s="249"/>
      <c r="Q81" s="250"/>
    </row>
    <row r="82" s="148" customFormat="1" ht="20.1" customHeight="1" spans="4:17">
      <c r="D82" s="149"/>
      <c r="E82" s="149"/>
      <c r="K82" s="248"/>
      <c r="L82" s="248"/>
      <c r="M82" s="249"/>
      <c r="Q82" s="250"/>
    </row>
    <row r="83" s="148" customFormat="1" ht="20.1" customHeight="1" spans="4:17">
      <c r="D83" s="149"/>
      <c r="E83" s="149"/>
      <c r="K83" s="248"/>
      <c r="L83" s="248"/>
      <c r="M83" s="249"/>
      <c r="Q83" s="250"/>
    </row>
    <row r="84" s="148" customFormat="1" ht="20.1" customHeight="1" spans="4:17">
      <c r="D84" s="149"/>
      <c r="E84" s="149"/>
      <c r="K84" s="248"/>
      <c r="L84" s="248"/>
      <c r="M84" s="249"/>
      <c r="Q84" s="250"/>
    </row>
    <row r="85" s="148" customFormat="1" ht="20.1" customHeight="1" spans="4:17">
      <c r="D85" s="149"/>
      <c r="E85" s="149"/>
      <c r="K85" s="248"/>
      <c r="L85" s="248"/>
      <c r="M85" s="249"/>
      <c r="Q85" s="250"/>
    </row>
    <row r="86" s="148" customFormat="1" ht="20.1" customHeight="1" spans="4:17">
      <c r="D86" s="149"/>
      <c r="E86" s="149"/>
      <c r="K86" s="248"/>
      <c r="L86" s="248"/>
      <c r="M86" s="249"/>
      <c r="Q86" s="250"/>
    </row>
    <row r="87" s="148" customFormat="1" ht="20.1" customHeight="1" spans="4:17">
      <c r="D87" s="149"/>
      <c r="E87" s="149"/>
      <c r="K87" s="248"/>
      <c r="L87" s="248"/>
      <c r="M87" s="249"/>
      <c r="Q87" s="250"/>
    </row>
    <row r="88" s="148" customFormat="1" ht="20.1" customHeight="1" spans="4:17">
      <c r="D88" s="149"/>
      <c r="E88" s="149"/>
      <c r="K88" s="248"/>
      <c r="L88" s="248"/>
      <c r="M88" s="249"/>
      <c r="Q88" s="250"/>
    </row>
    <row r="89" s="148" customFormat="1" ht="20.1" customHeight="1" spans="4:17">
      <c r="D89" s="149"/>
      <c r="E89" s="149"/>
      <c r="K89" s="248"/>
      <c r="L89" s="248"/>
      <c r="M89" s="249"/>
      <c r="Q89" s="250"/>
    </row>
    <row r="90" s="148" customFormat="1" ht="20.1" customHeight="1" spans="4:17">
      <c r="D90" s="149"/>
      <c r="E90" s="149"/>
      <c r="K90" s="248"/>
      <c r="L90" s="248"/>
      <c r="M90" s="249"/>
      <c r="Q90" s="250"/>
    </row>
    <row r="91" s="148" customFormat="1" ht="20.1" customHeight="1" spans="4:17">
      <c r="D91" s="149"/>
      <c r="E91" s="149"/>
      <c r="K91" s="248"/>
      <c r="L91" s="248"/>
      <c r="M91" s="249"/>
      <c r="Q91" s="250"/>
    </row>
    <row r="92" s="148" customFormat="1" ht="20.1" customHeight="1" spans="4:17">
      <c r="D92" s="149"/>
      <c r="E92" s="149"/>
      <c r="K92" s="248"/>
      <c r="L92" s="248"/>
      <c r="M92" s="249"/>
      <c r="Q92" s="250"/>
    </row>
    <row r="93" s="148" customFormat="1" ht="20.1" customHeight="1" spans="4:17">
      <c r="D93" s="149"/>
      <c r="E93" s="149"/>
      <c r="K93" s="248"/>
      <c r="L93" s="248"/>
      <c r="M93" s="249"/>
      <c r="Q93" s="250"/>
    </row>
    <row r="94" s="148" customFormat="1" ht="20.1" customHeight="1" spans="4:17">
      <c r="D94" s="149"/>
      <c r="E94" s="149"/>
      <c r="K94" s="248"/>
      <c r="L94" s="248"/>
      <c r="M94" s="249"/>
      <c r="Q94" s="250"/>
    </row>
    <row r="95" s="148" customFormat="1" ht="20.1" customHeight="1" spans="4:17">
      <c r="D95" s="149"/>
      <c r="E95" s="149"/>
      <c r="K95" s="248"/>
      <c r="L95" s="248"/>
      <c r="M95" s="249"/>
      <c r="Q95" s="250"/>
    </row>
    <row r="96" s="148" customFormat="1" ht="20.1" customHeight="1" spans="4:17">
      <c r="D96" s="149"/>
      <c r="E96" s="149"/>
      <c r="K96" s="248"/>
      <c r="L96" s="248"/>
      <c r="M96" s="249"/>
      <c r="Q96" s="250"/>
    </row>
    <row r="97" s="148" customFormat="1" ht="20.1" customHeight="1" spans="4:17">
      <c r="D97" s="149"/>
      <c r="E97" s="149"/>
      <c r="K97" s="248"/>
      <c r="L97" s="248"/>
      <c r="M97" s="249"/>
      <c r="Q97" s="250"/>
    </row>
    <row r="98" s="148" customFormat="1" ht="20.1" customHeight="1" spans="4:17">
      <c r="D98" s="149"/>
      <c r="E98" s="149"/>
      <c r="K98" s="248"/>
      <c r="L98" s="248"/>
      <c r="M98" s="249"/>
      <c r="Q98" s="250"/>
    </row>
    <row r="99" s="148" customFormat="1" ht="20.1" customHeight="1" spans="4:17">
      <c r="D99" s="149"/>
      <c r="E99" s="149"/>
      <c r="K99" s="248"/>
      <c r="L99" s="248"/>
      <c r="M99" s="249"/>
      <c r="Q99" s="250"/>
    </row>
    <row r="100" s="148" customFormat="1" ht="20.1" customHeight="1" spans="4:17">
      <c r="D100" s="149"/>
      <c r="E100" s="149"/>
      <c r="K100" s="248"/>
      <c r="L100" s="248"/>
      <c r="M100" s="249"/>
      <c r="Q100" s="250"/>
    </row>
    <row r="101" s="148" customFormat="1" ht="20.1" customHeight="1" spans="4:17">
      <c r="D101" s="149"/>
      <c r="E101" s="149"/>
      <c r="K101" s="248"/>
      <c r="L101" s="248"/>
      <c r="M101" s="249"/>
      <c r="Q101" s="250"/>
    </row>
    <row r="102" s="148" customFormat="1" ht="20.1" customHeight="1" spans="4:17">
      <c r="D102" s="149"/>
      <c r="E102" s="149"/>
      <c r="K102" s="248"/>
      <c r="L102" s="248"/>
      <c r="M102" s="249"/>
      <c r="Q102" s="250"/>
    </row>
    <row r="103" s="148" customFormat="1" ht="20.1" customHeight="1" spans="4:17">
      <c r="D103" s="149"/>
      <c r="E103" s="149"/>
      <c r="K103" s="248"/>
      <c r="L103" s="248"/>
      <c r="M103" s="249"/>
      <c r="Q103" s="250"/>
    </row>
    <row r="104" s="148" customFormat="1" ht="20.1" customHeight="1" spans="4:17">
      <c r="D104" s="149"/>
      <c r="E104" s="149"/>
      <c r="K104" s="248"/>
      <c r="L104" s="248"/>
      <c r="M104" s="249"/>
      <c r="Q104" s="250"/>
    </row>
    <row r="105" s="148" customFormat="1" ht="20.1" customHeight="1" spans="4:17">
      <c r="D105" s="149"/>
      <c r="E105" s="149"/>
      <c r="K105" s="248"/>
      <c r="L105" s="248"/>
      <c r="M105" s="249"/>
      <c r="Q105" s="250"/>
    </row>
    <row r="106" s="148" customFormat="1" ht="20.1" customHeight="1" spans="4:17">
      <c r="D106" s="149"/>
      <c r="E106" s="149"/>
      <c r="K106" s="248"/>
      <c r="L106" s="248"/>
      <c r="M106" s="249"/>
      <c r="Q106" s="250"/>
    </row>
    <row r="107" s="148" customFormat="1" ht="20.1" customHeight="1" spans="4:17">
      <c r="D107" s="149"/>
      <c r="E107" s="149"/>
      <c r="K107" s="248"/>
      <c r="L107" s="248"/>
      <c r="M107" s="249"/>
      <c r="Q107" s="250"/>
    </row>
    <row r="108" s="148" customFormat="1" ht="20.1" customHeight="1" spans="4:17">
      <c r="D108" s="149"/>
      <c r="E108" s="149"/>
      <c r="G108" s="147"/>
      <c r="H108" s="147"/>
      <c r="I108" s="147"/>
      <c r="J108" s="147"/>
      <c r="K108" s="150"/>
      <c r="L108" s="150"/>
      <c r="M108" s="249"/>
      <c r="Q108" s="250"/>
    </row>
  </sheetData>
  <protectedRanges>
    <protectedRange sqref="H3 J3 L3 L30 H22:L29 H18:J21" name="区域1_4"/>
    <protectedRange sqref="H39:J39 L40" name="区域1_5"/>
    <protectedRange sqref="G18:G29 G33" name="区域1_4_1_2"/>
    <protectedRange sqref="S39:V39 V38" name="区域1_1_1"/>
    <protectedRange sqref="R39" name="区域1_5_1_1"/>
    <protectedRange sqref="H5:J11 H4:L4 G12:J15 G17:J17 K5:L15 K17:L21 G16:L16" name="区域1_4_2"/>
    <protectedRange sqref="K33:K39 G35:G38" name="区域1_4_1"/>
    <protectedRange sqref="L33:L39 I33:J34 H35:J38" name="区域1_5_2"/>
    <protectedRange sqref="H33:H34" name="区域1_4_1_1"/>
    <protectedRange sqref="G34" name="区域1_4_1_3"/>
  </protectedRanges>
  <autoFilter xmlns:etc="http://www.wps.cn/officeDocument/2017/etCustomData" ref="A3:Q41" etc:filterBottomFollowUsedRange="0">
    <extLst/>
  </autoFilter>
  <mergeCells count="10">
    <mergeCell ref="A2:C2"/>
    <mergeCell ref="D2:F2"/>
    <mergeCell ref="G2:H2"/>
    <mergeCell ref="I2:J2"/>
    <mergeCell ref="K2:L2"/>
    <mergeCell ref="H31:I31"/>
    <mergeCell ref="M2:M3"/>
    <mergeCell ref="N2:N3"/>
    <mergeCell ref="O2:O3"/>
    <mergeCell ref="P2:P3"/>
  </mergeCells>
  <conditionalFormatting sqref="Q2">
    <cfRule type="duplicateValues" dxfId="0" priority="2"/>
  </conditionalFormatting>
  <conditionalFormatting sqref="R2">
    <cfRule type="duplicateValues" dxfId="0" priority="1"/>
  </conditionalFormatting>
  <dataValidations count="3">
    <dataValidation type="list" allowBlank="1" showInputMessage="1" showErrorMessage="1" sqref="C13 C33:C34">
      <formula1>专用设备大类</formula1>
    </dataValidation>
    <dataValidation type="list" allowBlank="1" showInputMessage="1" showErrorMessage="1" sqref="C40 C18:C30">
      <formula1>OFFSET([11]资源数据源!#REF!,MATCH(#REF!,[11]资源数据源!#REF!,0)-1,0,COUNTIF([11]资源数据源!#REF!,#REF!),1)</formula1>
    </dataValidation>
    <dataValidation type="list" allowBlank="1" showInputMessage="1" showErrorMessage="1" sqref="C4:C12">
      <formula1>公用设备大类</formula1>
    </dataValidation>
  </dataValidations>
  <pageMargins left="0.708661417322835" right="0.708661417322835" top="0.748031496062992" bottom="0.748031496062992" header="0.31496062992126" footer="0.31496062992126"/>
  <pageSetup paperSize="9" scale="45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98"/>
  <sheetViews>
    <sheetView showGridLines="0" zoomScale="80" zoomScaleNormal="80" workbookViewId="0">
      <selection activeCell="M8" sqref="M8"/>
    </sheetView>
  </sheetViews>
  <sheetFormatPr defaultColWidth="8.89166666666667" defaultRowHeight="16.5"/>
  <cols>
    <col min="1" max="1" width="17.3333333333333" style="96" customWidth="1"/>
    <col min="2" max="2" width="11.8916666666667" style="96" customWidth="1"/>
    <col min="3" max="3" width="16.4416666666667" style="96" customWidth="1"/>
    <col min="4" max="4" width="21" style="96" customWidth="1"/>
    <col min="5" max="5" width="16.4416666666667" style="96" customWidth="1"/>
    <col min="6" max="6" width="7.775" style="96" customWidth="1"/>
    <col min="7" max="7" width="9.10833333333333" style="96" customWidth="1"/>
    <col min="8" max="8" width="10.775" style="96" customWidth="1"/>
    <col min="9" max="9" width="5.66666666666667" style="97" customWidth="1"/>
    <col min="10" max="10" width="4.55833333333333" style="97" customWidth="1"/>
    <col min="11" max="11" width="9.44166666666667" style="96" customWidth="1"/>
    <col min="12" max="12" width="16.5583333333333" style="97" customWidth="1"/>
    <col min="13" max="13" width="28.0583333333333" style="97" customWidth="1"/>
    <col min="14" max="14" width="12.8916666666667" style="97" customWidth="1"/>
    <col min="15" max="16" width="13.8916666666667" style="97" customWidth="1"/>
    <col min="17" max="17" width="14" style="97" customWidth="1"/>
    <col min="18" max="18" width="13.8916666666667" style="97" customWidth="1"/>
    <col min="19" max="25" width="14" style="97" customWidth="1"/>
    <col min="26" max="16384" width="8.89166666666667" style="97"/>
  </cols>
  <sheetData>
    <row r="1" s="95" customFormat="1" ht="21" customHeight="1" spans="1:25">
      <c r="A1" s="4" t="e">
        <f>#REF!</f>
        <v>#REF!</v>
      </c>
      <c r="B1" s="98"/>
      <c r="C1" s="98"/>
      <c r="D1" s="98"/>
      <c r="E1" s="98"/>
      <c r="F1" s="98"/>
      <c r="G1" s="98"/>
      <c r="H1" s="98"/>
      <c r="K1" s="98"/>
      <c r="O1" s="99">
        <v>1</v>
      </c>
      <c r="P1" s="99">
        <v>2</v>
      </c>
      <c r="Q1" s="99">
        <v>3</v>
      </c>
      <c r="R1" s="99">
        <v>4</v>
      </c>
      <c r="S1" s="99">
        <v>5</v>
      </c>
      <c r="T1" s="99">
        <v>6</v>
      </c>
      <c r="U1" s="99">
        <v>7</v>
      </c>
      <c r="V1" s="99">
        <v>8</v>
      </c>
      <c r="W1" s="99">
        <v>9</v>
      </c>
      <c r="X1" s="99">
        <v>10</v>
      </c>
      <c r="Y1" s="99">
        <v>11</v>
      </c>
    </row>
    <row r="2" ht="31.5" customHeight="1" spans="1:25">
      <c r="A2" s="100" t="s">
        <v>230</v>
      </c>
      <c r="B2" s="100"/>
      <c r="C2" s="100"/>
      <c r="D2" s="100"/>
      <c r="E2" s="100"/>
      <c r="F2" s="101"/>
      <c r="G2" s="102" t="s">
        <v>231</v>
      </c>
      <c r="H2" s="102"/>
      <c r="I2" s="102" t="s">
        <v>232</v>
      </c>
      <c r="J2" s="102"/>
      <c r="K2" s="102" t="s">
        <v>233</v>
      </c>
      <c r="L2" s="102"/>
      <c r="M2" s="50" t="s">
        <v>234</v>
      </c>
      <c r="N2" s="50" t="s">
        <v>235</v>
      </c>
      <c r="O2" s="103">
        <v>6608491523</v>
      </c>
      <c r="P2" s="103">
        <v>6608491524</v>
      </c>
      <c r="Q2" s="103">
        <v>6608442962</v>
      </c>
      <c r="R2" s="103">
        <v>6608544875</v>
      </c>
      <c r="S2" s="103">
        <v>6608442964</v>
      </c>
      <c r="T2" s="103">
        <v>6608519100</v>
      </c>
      <c r="U2" s="103">
        <v>6608442963</v>
      </c>
      <c r="V2" s="103">
        <v>6608516992</v>
      </c>
      <c r="W2" s="103">
        <v>6608442966</v>
      </c>
      <c r="X2" s="103">
        <v>6608442965</v>
      </c>
      <c r="Y2" s="103">
        <v>6608507680</v>
      </c>
    </row>
    <row r="3" ht="36" customHeight="1" spans="1:25">
      <c r="A3" s="104" t="s">
        <v>144</v>
      </c>
      <c r="B3" s="13" t="s">
        <v>145</v>
      </c>
      <c r="C3" s="12" t="s">
        <v>146</v>
      </c>
      <c r="D3" s="12" t="s">
        <v>236</v>
      </c>
      <c r="E3" s="12" t="s">
        <v>237</v>
      </c>
      <c r="F3" s="54" t="s">
        <v>149</v>
      </c>
      <c r="G3" s="105" t="s">
        <v>238</v>
      </c>
      <c r="H3" s="105" t="s">
        <v>239</v>
      </c>
      <c r="I3" s="105" t="s">
        <v>240</v>
      </c>
      <c r="J3" s="105" t="s">
        <v>241</v>
      </c>
      <c r="K3" s="105" t="s">
        <v>242</v>
      </c>
      <c r="L3" s="105" t="s">
        <v>243</v>
      </c>
      <c r="M3" s="106" t="s">
        <v>244</v>
      </c>
      <c r="N3" s="5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</row>
    <row r="4" ht="18.75" customHeight="1" spans="1:25">
      <c r="A4" s="108" t="s">
        <v>245</v>
      </c>
      <c r="B4" s="109" t="s">
        <v>246</v>
      </c>
      <c r="C4" s="109" t="s">
        <v>247</v>
      </c>
      <c r="D4" s="109" t="s">
        <v>248</v>
      </c>
      <c r="E4" s="110" t="s">
        <v>249</v>
      </c>
      <c r="F4" s="111" t="s">
        <v>179</v>
      </c>
      <c r="G4" s="112">
        <f t="shared" ref="G4:G7" si="0">SUM(O4:Y4)</f>
        <v>2.00000000000001</v>
      </c>
      <c r="H4" s="113"/>
      <c r="I4" s="114"/>
      <c r="J4" s="115"/>
      <c r="K4" s="66">
        <v>4</v>
      </c>
      <c r="L4" s="116">
        <f t="shared" ref="L4:L11" si="1">K4*N4</f>
        <v>30000</v>
      </c>
      <c r="M4" s="117" t="s">
        <v>250</v>
      </c>
      <c r="N4" s="118">
        <v>7500</v>
      </c>
      <c r="O4" s="119">
        <v>1.30434782608696</v>
      </c>
      <c r="P4" s="119">
        <v>0.260869565217392</v>
      </c>
      <c r="Q4" s="119">
        <v>0.173913043478261</v>
      </c>
      <c r="R4" s="119">
        <v>0.260869565217392</v>
      </c>
      <c r="S4" s="119"/>
      <c r="T4" s="119"/>
      <c r="U4" s="119"/>
      <c r="V4" s="119"/>
      <c r="W4" s="119"/>
      <c r="X4" s="119"/>
      <c r="Y4" s="119"/>
    </row>
    <row r="5" ht="18.75" customHeight="1" spans="1:25">
      <c r="A5" s="108" t="s">
        <v>245</v>
      </c>
      <c r="B5" s="109" t="s">
        <v>246</v>
      </c>
      <c r="C5" s="109" t="s">
        <v>247</v>
      </c>
      <c r="D5" s="109" t="s">
        <v>251</v>
      </c>
      <c r="E5" s="110" t="s">
        <v>252</v>
      </c>
      <c r="F5" s="111" t="s">
        <v>179</v>
      </c>
      <c r="G5" s="112">
        <f t="shared" si="0"/>
        <v>15</v>
      </c>
      <c r="H5" s="115"/>
      <c r="I5" s="120"/>
      <c r="J5" s="115"/>
      <c r="K5" s="66">
        <v>5</v>
      </c>
      <c r="L5" s="116">
        <f t="shared" si="1"/>
        <v>17250</v>
      </c>
      <c r="M5" s="121"/>
      <c r="N5" s="118">
        <v>3450</v>
      </c>
      <c r="O5" s="122"/>
      <c r="P5" s="119"/>
      <c r="Q5" s="119"/>
      <c r="R5" s="119"/>
      <c r="S5" s="119">
        <v>2.55</v>
      </c>
      <c r="T5" s="119">
        <v>0.45</v>
      </c>
      <c r="U5" s="119">
        <v>0.70588235294118</v>
      </c>
      <c r="V5" s="119">
        <v>5.29411764705882</v>
      </c>
      <c r="W5" s="119">
        <v>4.5</v>
      </c>
      <c r="X5" s="119">
        <v>0.9</v>
      </c>
      <c r="Y5" s="119">
        <v>0.6</v>
      </c>
    </row>
    <row r="6" ht="48" customHeight="1" spans="1:25">
      <c r="A6" s="108" t="s">
        <v>245</v>
      </c>
      <c r="B6" s="109" t="s">
        <v>246</v>
      </c>
      <c r="C6" s="109" t="s">
        <v>247</v>
      </c>
      <c r="D6" s="109" t="s">
        <v>251</v>
      </c>
      <c r="E6" s="110" t="s">
        <v>252</v>
      </c>
      <c r="F6" s="111" t="s">
        <v>179</v>
      </c>
      <c r="G6" s="112">
        <f t="shared" si="0"/>
        <v>15</v>
      </c>
      <c r="H6" s="115"/>
      <c r="I6" s="120"/>
      <c r="J6" s="115"/>
      <c r="K6" s="66">
        <v>4</v>
      </c>
      <c r="L6" s="116">
        <f t="shared" si="1"/>
        <v>4400</v>
      </c>
      <c r="M6" s="123" t="s">
        <v>253</v>
      </c>
      <c r="N6" s="118">
        <v>1100</v>
      </c>
      <c r="O6" s="122"/>
      <c r="P6" s="119"/>
      <c r="Q6" s="119"/>
      <c r="R6" s="119"/>
      <c r="S6" s="119">
        <v>2.55</v>
      </c>
      <c r="T6" s="119">
        <v>0.45</v>
      </c>
      <c r="U6" s="119">
        <v>0.70588235294118</v>
      </c>
      <c r="V6" s="119">
        <v>5.29411764705882</v>
      </c>
      <c r="W6" s="119">
        <v>4.5</v>
      </c>
      <c r="X6" s="119">
        <v>0.9</v>
      </c>
      <c r="Y6" s="119">
        <v>0.6</v>
      </c>
    </row>
    <row r="7" ht="52" customHeight="1" spans="1:25">
      <c r="A7" s="108" t="s">
        <v>245</v>
      </c>
      <c r="B7" s="109" t="s">
        <v>246</v>
      </c>
      <c r="C7" s="109" t="s">
        <v>247</v>
      </c>
      <c r="D7" s="109" t="s">
        <v>254</v>
      </c>
      <c r="E7" s="110" t="s">
        <v>255</v>
      </c>
      <c r="F7" s="111" t="s">
        <v>179</v>
      </c>
      <c r="G7" s="112">
        <f t="shared" si="0"/>
        <v>7</v>
      </c>
      <c r="H7" s="115"/>
      <c r="I7" s="120"/>
      <c r="J7" s="115"/>
      <c r="K7" s="66">
        <v>4</v>
      </c>
      <c r="L7" s="116">
        <f t="shared" si="1"/>
        <v>104000</v>
      </c>
      <c r="M7" s="124" t="s">
        <v>256</v>
      </c>
      <c r="N7" s="118">
        <f>104000/4</f>
        <v>26000</v>
      </c>
      <c r="O7" s="125"/>
      <c r="P7" s="126"/>
      <c r="Q7" s="126"/>
      <c r="R7" s="126"/>
      <c r="S7" s="126">
        <v>1</v>
      </c>
      <c r="T7" s="126">
        <v>1</v>
      </c>
      <c r="U7" s="126">
        <v>0.35294117647059</v>
      </c>
      <c r="V7" s="126">
        <v>2.64705882352941</v>
      </c>
      <c r="W7" s="126">
        <v>1.5</v>
      </c>
      <c r="X7" s="126">
        <v>0.3</v>
      </c>
      <c r="Y7" s="126">
        <v>0.2</v>
      </c>
    </row>
    <row r="8" ht="33" customHeight="1" spans="1:25">
      <c r="A8" s="108" t="s">
        <v>245</v>
      </c>
      <c r="B8" s="109" t="s">
        <v>246</v>
      </c>
      <c r="C8" s="109" t="s">
        <v>247</v>
      </c>
      <c r="D8" s="109" t="s">
        <v>257</v>
      </c>
      <c r="E8" s="110" t="s">
        <v>258</v>
      </c>
      <c r="F8" s="111" t="s">
        <v>179</v>
      </c>
      <c r="G8" s="112">
        <v>2</v>
      </c>
      <c r="H8" s="127"/>
      <c r="I8" s="127"/>
      <c r="J8" s="127"/>
      <c r="K8" s="66">
        <v>2</v>
      </c>
      <c r="L8" s="116">
        <f t="shared" si="1"/>
        <v>3600</v>
      </c>
      <c r="M8" s="128" t="s">
        <v>259</v>
      </c>
      <c r="N8" s="118">
        <v>1800</v>
      </c>
      <c r="O8" s="125"/>
      <c r="P8" s="119"/>
      <c r="Q8" s="119"/>
      <c r="R8" s="119"/>
      <c r="S8" s="119"/>
      <c r="T8" s="119"/>
      <c r="U8" s="119"/>
      <c r="V8" s="119"/>
      <c r="W8" s="119">
        <v>3</v>
      </c>
      <c r="X8" s="119">
        <v>0.6</v>
      </c>
      <c r="Y8" s="119">
        <v>0.4</v>
      </c>
    </row>
    <row r="9" ht="18.75" customHeight="1" spans="1:25">
      <c r="A9" s="108" t="s">
        <v>245</v>
      </c>
      <c r="B9" s="109" t="s">
        <v>246</v>
      </c>
      <c r="C9" s="109" t="s">
        <v>247</v>
      </c>
      <c r="D9" s="109" t="s">
        <v>260</v>
      </c>
      <c r="E9" s="110" t="s">
        <v>258</v>
      </c>
      <c r="F9" s="111" t="s">
        <v>179</v>
      </c>
      <c r="G9" s="112">
        <f>SUM(O9:Y9)</f>
        <v>4</v>
      </c>
      <c r="H9" s="127"/>
      <c r="I9" s="127"/>
      <c r="J9" s="127"/>
      <c r="K9" s="66">
        <v>2</v>
      </c>
      <c r="L9" s="116">
        <f t="shared" si="1"/>
        <v>56000</v>
      </c>
      <c r="M9" s="129" t="s">
        <v>166</v>
      </c>
      <c r="N9" s="118">
        <v>28000</v>
      </c>
      <c r="O9" s="125"/>
      <c r="P9" s="119"/>
      <c r="Q9" s="119"/>
      <c r="R9" s="119"/>
      <c r="S9" s="119"/>
      <c r="T9" s="119"/>
      <c r="U9" s="119"/>
      <c r="V9" s="119"/>
      <c r="W9" s="119">
        <v>3</v>
      </c>
      <c r="X9" s="119">
        <v>0.6</v>
      </c>
      <c r="Y9" s="119">
        <v>0.4</v>
      </c>
    </row>
    <row r="10" ht="18.75" customHeight="1" spans="1:25">
      <c r="A10" s="108" t="s">
        <v>245</v>
      </c>
      <c r="B10" s="109" t="s">
        <v>246</v>
      </c>
      <c r="C10" s="109" t="s">
        <v>247</v>
      </c>
      <c r="D10" s="109" t="s">
        <v>261</v>
      </c>
      <c r="E10" s="110" t="s">
        <v>262</v>
      </c>
      <c r="F10" s="111" t="s">
        <v>179</v>
      </c>
      <c r="G10" s="112">
        <f>SUM(O10:Y10)</f>
        <v>2</v>
      </c>
      <c r="H10" s="127"/>
      <c r="I10" s="127"/>
      <c r="J10" s="127"/>
      <c r="K10" s="66">
        <v>0</v>
      </c>
      <c r="L10" s="116">
        <f t="shared" si="1"/>
        <v>0</v>
      </c>
      <c r="M10" s="129"/>
      <c r="N10" s="118">
        <v>2000</v>
      </c>
      <c r="O10" s="125"/>
      <c r="P10" s="119"/>
      <c r="Q10" s="119"/>
      <c r="R10" s="119"/>
      <c r="S10" s="119"/>
      <c r="T10" s="119"/>
      <c r="U10" s="119">
        <v>0.11764705882353</v>
      </c>
      <c r="V10" s="119">
        <v>0.88235294117647</v>
      </c>
      <c r="W10" s="119">
        <v>0.333333333333333</v>
      </c>
      <c r="X10" s="119">
        <v>0.333333333333333</v>
      </c>
      <c r="Y10" s="119">
        <v>0.333333333333333</v>
      </c>
    </row>
    <row r="11" ht="18.75" customHeight="1" spans="1:25">
      <c r="A11" s="108" t="s">
        <v>245</v>
      </c>
      <c r="B11" s="109" t="s">
        <v>246</v>
      </c>
      <c r="C11" s="109" t="s">
        <v>247</v>
      </c>
      <c r="D11" s="109" t="s">
        <v>263</v>
      </c>
      <c r="E11" s="110" t="s">
        <v>262</v>
      </c>
      <c r="F11" s="111" t="s">
        <v>179</v>
      </c>
      <c r="G11" s="112">
        <f>SUM(O11:Y11)</f>
        <v>9</v>
      </c>
      <c r="H11" s="127"/>
      <c r="I11" s="127"/>
      <c r="J11" s="127"/>
      <c r="K11" s="66">
        <v>0</v>
      </c>
      <c r="L11" s="116">
        <f t="shared" si="1"/>
        <v>0</v>
      </c>
      <c r="M11" s="129"/>
      <c r="N11" s="118">
        <v>38000</v>
      </c>
      <c r="O11" s="125"/>
      <c r="P11" s="119"/>
      <c r="Q11" s="119"/>
      <c r="R11" s="119"/>
      <c r="S11" s="119"/>
      <c r="T11" s="119"/>
      <c r="U11" s="119"/>
      <c r="V11" s="119"/>
      <c r="W11" s="119">
        <v>6.75</v>
      </c>
      <c r="X11" s="119">
        <v>1.35</v>
      </c>
      <c r="Y11" s="119">
        <v>0.9</v>
      </c>
    </row>
    <row r="12" ht="18.75" customHeight="1" spans="1:25">
      <c r="A12" s="108"/>
      <c r="B12" s="109"/>
      <c r="C12" s="109"/>
      <c r="D12" s="109"/>
      <c r="E12" s="110"/>
      <c r="F12" s="111"/>
      <c r="G12" s="130"/>
      <c r="H12" s="127"/>
      <c r="I12" s="127"/>
      <c r="J12" s="127"/>
      <c r="K12" s="114">
        <f>G12-I12</f>
        <v>0</v>
      </c>
      <c r="L12" s="127"/>
      <c r="M12" s="131"/>
      <c r="N12" s="132"/>
      <c r="O12" s="125"/>
      <c r="P12" s="119"/>
      <c r="Q12" s="119"/>
      <c r="R12" s="119"/>
      <c r="S12" s="119"/>
      <c r="T12" s="119"/>
      <c r="U12" s="119"/>
      <c r="V12" s="119"/>
      <c r="W12" s="119"/>
      <c r="X12" s="119"/>
      <c r="Y12" s="119"/>
    </row>
    <row r="13" ht="18.75" customHeight="1" spans="1:25">
      <c r="A13" s="108"/>
      <c r="B13" s="109"/>
      <c r="C13" s="109"/>
      <c r="D13" s="109"/>
      <c r="E13" s="110"/>
      <c r="F13" s="111"/>
      <c r="G13" s="130"/>
      <c r="H13" s="127"/>
      <c r="I13" s="127"/>
      <c r="J13" s="127"/>
      <c r="K13" s="114"/>
      <c r="L13" s="127"/>
      <c r="M13" s="131"/>
      <c r="N13" s="132"/>
      <c r="O13" s="125"/>
      <c r="P13" s="119"/>
      <c r="Q13" s="119"/>
      <c r="R13" s="119"/>
      <c r="S13" s="119"/>
      <c r="T13" s="119"/>
      <c r="U13" s="119"/>
      <c r="V13" s="119"/>
      <c r="W13" s="119"/>
      <c r="X13" s="119"/>
      <c r="Y13" s="119"/>
    </row>
    <row r="14" ht="18.75" customHeight="1" spans="1:25">
      <c r="A14" s="133"/>
      <c r="B14" s="133"/>
      <c r="C14" s="133"/>
      <c r="D14" s="133"/>
      <c r="E14" s="133"/>
      <c r="F14" s="134"/>
      <c r="G14" s="135"/>
      <c r="H14" s="136"/>
      <c r="I14" s="135"/>
      <c r="J14" s="136"/>
      <c r="K14" s="135"/>
      <c r="L14" s="136">
        <f>SUM(L4:L13)</f>
        <v>215250</v>
      </c>
      <c r="M14" s="137"/>
      <c r="N14" s="138"/>
      <c r="O14" s="89" t="e" cm="1">
        <f t="array" ref="O14">SUMPRODUCT(O4:O13,$N$4:$N$13)/O18</f>
        <v>#REF!</v>
      </c>
      <c r="P14" s="89" t="e" cm="1">
        <f t="array" ref="P14">SUMPRODUCT(P4:P13,$N$4:$N$13)/P18</f>
        <v>#REF!</v>
      </c>
      <c r="Q14" s="89" t="e" cm="1">
        <f t="array" ref="Q14">SUMPRODUCT(Q4:Q13,$N$4:$N$13)/Q18</f>
        <v>#REF!</v>
      </c>
      <c r="R14" s="89" t="e" cm="1">
        <f t="array" ref="R14">SUMPRODUCT(R4:R13,$N$4:$N$13)/R18</f>
        <v>#REF!</v>
      </c>
      <c r="S14" s="89" t="e" cm="1">
        <f t="array" ref="S14">SUMPRODUCT(S4:S13,$N$4:$N$13)/S18</f>
        <v>#REF!</v>
      </c>
      <c r="T14" s="89" t="e" cm="1">
        <f t="array" ref="T14">SUMPRODUCT(T4:T13,$N$4:$N$13)/T18</f>
        <v>#REF!</v>
      </c>
      <c r="U14" s="89" t="e" cm="1">
        <f t="array" ref="U14">SUMPRODUCT(U4:U13,$N$4:$N$13)/U18</f>
        <v>#REF!</v>
      </c>
      <c r="V14" s="89" t="e" cm="1">
        <f t="array" ref="V14">SUMPRODUCT(V4:V13,$N$4:$N$13)/V18</f>
        <v>#REF!</v>
      </c>
      <c r="W14" s="89" t="e" cm="1">
        <f t="array" ref="W14">SUMPRODUCT(W4:W13,$N$4:$N$13)/W18</f>
        <v>#REF!</v>
      </c>
      <c r="X14" s="89" t="e" cm="1">
        <f t="array" ref="X14">SUMPRODUCT(X4:X13,$N$4:$N$13)/X18</f>
        <v>#REF!</v>
      </c>
      <c r="Y14" s="89" t="e" cm="1">
        <f t="array" ref="Y14">SUMPRODUCT(Y4:Y13,$N$4:$N$13)/Y18</f>
        <v>#REF!</v>
      </c>
    </row>
    <row r="15" ht="18.75" customHeight="1" spans="1:25">
      <c r="A15" s="139"/>
      <c r="B15" s="139"/>
      <c r="C15" s="139"/>
      <c r="D15" s="139"/>
      <c r="E15" s="139"/>
      <c r="F15" s="139"/>
      <c r="G15" s="139"/>
      <c r="H15" s="139"/>
      <c r="I15" s="140"/>
      <c r="J15" s="140"/>
      <c r="K15" s="141" t="s">
        <v>208</v>
      </c>
      <c r="L15" s="140" t="e">
        <f>L14/#REF!</f>
        <v>#REF!</v>
      </c>
      <c r="M15" s="142"/>
    </row>
    <row r="16" ht="24.9" customHeight="1" spans="1:25">
      <c r="L16" s="97" t="s">
        <v>264</v>
      </c>
      <c r="N16" s="143" t="str">
        <f>设备投资明细!N43</f>
        <v>装车比</v>
      </c>
      <c r="O16" s="143" t="e">
        <f>#REF!</f>
        <v>#REF!</v>
      </c>
      <c r="P16" s="143" t="e">
        <f>设备投资明细!R43</f>
        <v>#REF!</v>
      </c>
      <c r="Q16" s="143" t="e">
        <f>设备投资明细!S43</f>
        <v>#REF!</v>
      </c>
      <c r="R16" s="143" t="e">
        <f>设备投资明细!T43</f>
        <v>#REF!</v>
      </c>
      <c r="S16" s="143" t="e">
        <f>设备投资明细!U43</f>
        <v>#REF!</v>
      </c>
      <c r="T16" s="143" t="e">
        <f>设备投资明细!V43</f>
        <v>#REF!</v>
      </c>
      <c r="U16" s="143" t="e">
        <f>设备投资明细!W43</f>
        <v>#REF!</v>
      </c>
      <c r="V16" s="143" t="e">
        <f>设备投资明细!X43</f>
        <v>#REF!</v>
      </c>
      <c r="W16" s="143" t="e">
        <f>设备投资明细!Y43</f>
        <v>#REF!</v>
      </c>
      <c r="X16" s="143" t="e">
        <f>设备投资明细!Z43</f>
        <v>#REF!</v>
      </c>
      <c r="Y16" s="143" t="e">
        <f>设备投资明细!AA43</f>
        <v>#REF!</v>
      </c>
    </row>
    <row r="17" ht="24.9" customHeight="1" spans="1:25">
      <c r="M17" s="144"/>
      <c r="N17" s="143" t="str">
        <f>设备投资明细!N44</f>
        <v>总量纲</v>
      </c>
      <c r="O17" s="143" t="e">
        <f>#REF!</f>
        <v>#REF!</v>
      </c>
      <c r="P17" s="143" t="e">
        <f>设备投资明细!R44</f>
        <v>#REF!</v>
      </c>
      <c r="Q17" s="143" t="e">
        <f>设备投资明细!S44</f>
        <v>#REF!</v>
      </c>
      <c r="R17" s="143" t="e">
        <f>设备投资明细!T44</f>
        <v>#REF!</v>
      </c>
      <c r="S17" s="143" t="e">
        <f>设备投资明细!U44</f>
        <v>#REF!</v>
      </c>
      <c r="T17" s="143" t="e">
        <f>设备投资明细!V44</f>
        <v>#REF!</v>
      </c>
      <c r="U17" s="143" t="e">
        <f>设备投资明细!W44</f>
        <v>#REF!</v>
      </c>
      <c r="V17" s="143" t="e">
        <f>设备投资明细!X44</f>
        <v>#REF!</v>
      </c>
      <c r="W17" s="143" t="e">
        <f>设备投资明细!Y44</f>
        <v>#REF!</v>
      </c>
      <c r="X17" s="143" t="e">
        <f>设备投资明细!Z44</f>
        <v>#REF!</v>
      </c>
      <c r="Y17" s="143" t="e">
        <f>设备投资明细!AA44</f>
        <v>#REF!</v>
      </c>
    </row>
    <row r="18" s="96" customFormat="1" ht="20.1" customHeight="1" spans="1:25">
      <c r="N18" s="143" t="str">
        <f>设备投资明细!N45</f>
        <v>数量</v>
      </c>
      <c r="O18" s="143" t="e">
        <f>O16*O17</f>
        <v>#REF!</v>
      </c>
      <c r="P18" s="143" t="e">
        <f t="shared" ref="P18:Y18" si="2">P16*P17</f>
        <v>#REF!</v>
      </c>
      <c r="Q18" s="143" t="e">
        <f t="shared" si="2"/>
        <v>#REF!</v>
      </c>
      <c r="R18" s="143" t="e">
        <f t="shared" si="2"/>
        <v>#REF!</v>
      </c>
      <c r="S18" s="143" t="e">
        <f t="shared" si="2"/>
        <v>#REF!</v>
      </c>
      <c r="T18" s="143" t="e">
        <f t="shared" si="2"/>
        <v>#REF!</v>
      </c>
      <c r="U18" s="143" t="e">
        <f t="shared" si="2"/>
        <v>#REF!</v>
      </c>
      <c r="V18" s="143" t="e">
        <f t="shared" si="2"/>
        <v>#REF!</v>
      </c>
      <c r="W18" s="143" t="e">
        <f t="shared" si="2"/>
        <v>#REF!</v>
      </c>
      <c r="X18" s="143" t="e">
        <f t="shared" si="2"/>
        <v>#REF!</v>
      </c>
      <c r="Y18" s="143" t="e">
        <f t="shared" si="2"/>
        <v>#REF!</v>
      </c>
    </row>
    <row r="19" s="96" customFormat="1" ht="20.1" customHeight="1"/>
    <row r="20" s="96" customFormat="1" ht="20.1" customHeight="1" spans="1:25">
      <c r="M20" s="96" t="e" cm="1">
        <f t="array" ref="M20">SUMPRODUCT(O14:Y14,O16:Y16)</f>
        <v>#REF!</v>
      </c>
    </row>
    <row r="21" s="96" customFormat="1" ht="20.1" customHeight="1" spans="1:25">
      <c r="A21" s="96" t="s">
        <v>265</v>
      </c>
    </row>
    <row r="22" s="96" customFormat="1" ht="20.1" customHeight="1"/>
    <row r="23" s="96" customFormat="1" ht="20.1" customHeight="1"/>
    <row r="24" s="96" customFormat="1" ht="20.1" customHeight="1"/>
    <row r="25" s="96" customFormat="1" ht="20.1" customHeight="1"/>
    <row r="26" s="96" customFormat="1" ht="20.1" customHeight="1"/>
    <row r="27" s="96" customFormat="1" ht="20.1" customHeight="1"/>
    <row r="28" s="96" customFormat="1" ht="20.1" customHeight="1"/>
    <row r="29" s="96" customFormat="1" ht="20.1" customHeight="1"/>
    <row r="30" s="96" customFormat="1" ht="20.1" customHeight="1"/>
    <row r="31" s="96" customFormat="1" ht="20.1" customHeight="1"/>
    <row r="32" s="96" customFormat="1" ht="20.1" customHeight="1"/>
    <row r="33" s="96" customFormat="1" ht="20.1" customHeight="1"/>
    <row r="34" s="96" customFormat="1" ht="20.1" customHeight="1"/>
    <row r="35" s="96" customFormat="1" ht="20.1" customHeight="1"/>
    <row r="36" s="96" customFormat="1" ht="20.1" customHeight="1"/>
    <row r="37" s="96" customFormat="1" ht="20.1" customHeight="1"/>
    <row r="38" s="96" customFormat="1" ht="20.1" customHeight="1"/>
    <row r="39" s="96" customFormat="1" ht="20.1" customHeight="1"/>
    <row r="40" s="96" customFormat="1" ht="20.1" customHeight="1"/>
    <row r="41" s="96" customFormat="1" ht="20.1" customHeight="1"/>
    <row r="42" s="96" customFormat="1" ht="20.1" customHeight="1"/>
    <row r="43" s="96" customFormat="1" ht="20.1" customHeight="1"/>
    <row r="44" s="96" customFormat="1" ht="20.1" customHeight="1"/>
    <row r="45" s="96" customFormat="1" ht="20.1" customHeight="1"/>
    <row r="46" s="96" customFormat="1" ht="20.1" customHeight="1"/>
    <row r="47" s="96" customFormat="1" ht="20.1" customHeight="1"/>
    <row r="48" s="96" customFormat="1" ht="20.1" customHeight="1"/>
    <row r="49" s="96" customFormat="1" ht="20.1" customHeight="1"/>
    <row r="50" s="96" customFormat="1" ht="20.1" customHeight="1"/>
    <row r="51" s="96" customFormat="1" ht="20.1" customHeight="1"/>
    <row r="52" s="96" customFormat="1" ht="20.1" customHeight="1"/>
    <row r="53" s="96" customFormat="1" ht="20.1" customHeight="1"/>
    <row r="54" s="96" customFormat="1" ht="20.1" customHeight="1"/>
    <row r="55" s="96" customFormat="1" ht="20.1" customHeight="1"/>
    <row r="56" s="96" customFormat="1" ht="20.1" customHeight="1"/>
    <row r="57" s="96" customFormat="1" ht="20.1" customHeight="1"/>
    <row r="58" s="96" customFormat="1" ht="20.1" customHeight="1"/>
    <row r="59" s="96" customFormat="1" ht="20.1" customHeight="1"/>
    <row r="60" s="96" customFormat="1" ht="20.1" customHeight="1"/>
    <row r="61" s="96" customFormat="1" ht="20.1" customHeight="1"/>
    <row r="62" s="96" customFormat="1" ht="20.1" customHeight="1"/>
    <row r="63" s="96" customFormat="1" ht="20.1" customHeight="1"/>
    <row r="64" s="96" customFormat="1" ht="20.1" customHeight="1"/>
    <row r="65" s="96" customFormat="1" ht="20.1" customHeight="1"/>
    <row r="66" s="96" customFormat="1" ht="20.1" customHeight="1"/>
    <row r="67" s="96" customFormat="1" ht="20.1" customHeight="1"/>
    <row r="68" s="96" customFormat="1" ht="20.1" customHeight="1"/>
    <row r="69" s="96" customFormat="1" ht="20.1" customHeight="1"/>
    <row r="70" s="96" customFormat="1" ht="20.1" customHeight="1"/>
    <row r="71" s="96" customFormat="1" ht="20.1" customHeight="1"/>
    <row r="72" s="96" customFormat="1" ht="20.1" customHeight="1"/>
    <row r="73" s="96" customFormat="1" ht="20.1" customHeight="1"/>
    <row r="74" s="96" customFormat="1" ht="20.1" customHeight="1"/>
    <row r="75" s="96" customFormat="1" ht="20.1" customHeight="1"/>
    <row r="76" s="96" customFormat="1" ht="20.1" customHeight="1"/>
    <row r="77" s="96" customFormat="1" ht="20.1" customHeight="1"/>
    <row r="78" s="96" customFormat="1" ht="20.1" customHeight="1"/>
    <row r="79" s="96" customFormat="1" ht="20.1" customHeight="1"/>
    <row r="80" s="96" customFormat="1" ht="20.1" customHeight="1"/>
    <row r="81" s="96" customFormat="1" ht="20.1" customHeight="1"/>
    <row r="82" s="96" customFormat="1" ht="20.1" customHeight="1"/>
    <row r="83" s="96" customFormat="1" ht="20.1" customHeight="1"/>
    <row r="84" s="96" customFormat="1" ht="20.1" customHeight="1"/>
    <row r="85" s="96" customFormat="1" ht="20.1" customHeight="1"/>
    <row r="86" s="96" customFormat="1" ht="20.1" customHeight="1"/>
    <row r="87" s="96" customFormat="1" ht="20.1" customHeight="1"/>
    <row r="88" s="96" customFormat="1" ht="20.1" customHeight="1"/>
    <row r="89" s="96" customFormat="1" ht="20.1" customHeight="1"/>
    <row r="90" s="96" customFormat="1" ht="20.1" customHeight="1"/>
    <row r="91" s="96" customFormat="1" ht="20.1" customHeight="1"/>
    <row r="92" s="96" customFormat="1" ht="20.1" customHeight="1"/>
    <row r="93" s="96" customFormat="1" ht="20.1" customHeight="1"/>
    <row r="94" s="96" customFormat="1" ht="20.1" customHeight="1"/>
    <row r="95" s="96" customFormat="1" ht="20.1" customHeight="1"/>
    <row r="96" s="96" customFormat="1" ht="20.1" customHeight="1"/>
    <row r="97" s="96" customFormat="1" ht="20.1" customHeight="1"/>
    <row r="98" s="96" customFormat="1" ht="20.1" customHeight="1"/>
  </sheetData>
  <mergeCells count="4">
    <mergeCell ref="G2:H2"/>
    <mergeCell ref="I2:J2"/>
    <mergeCell ref="K2:L2"/>
    <mergeCell ref="M4:M5"/>
  </mergeCells>
  <dataValidations count="1">
    <dataValidation type="list" allowBlank="1" showInputMessage="1" showErrorMessage="1" sqref="C4:C13">
      <formula1>专用模具模块大类</formula1>
    </dataValidation>
  </dataValidations>
  <pageMargins left="0.7" right="0.7" top="0.75" bottom="0.75" header="0.3" footer="0.3"/>
  <pageSetup paperSize="9" scale="97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116"/>
  <sheetViews>
    <sheetView showGridLines="0" zoomScale="80" zoomScaleNormal="80" workbookViewId="0">
      <selection activeCell="L8" sqref="L8"/>
    </sheetView>
  </sheetViews>
  <sheetFormatPr defaultColWidth="9" defaultRowHeight="16.5"/>
  <cols>
    <col min="1" max="1" width="15.6666666666667" style="41" customWidth="1"/>
    <col min="2" max="2" width="11.8916666666667" style="41" customWidth="1"/>
    <col min="3" max="3" width="16.6666666666667" style="41" customWidth="1"/>
    <col min="4" max="4" width="36.4416666666667" style="41" customWidth="1"/>
    <col min="5" max="5" width="17.775" style="41" customWidth="1"/>
    <col min="6" max="6" width="7.44166666666667" style="41" customWidth="1"/>
    <col min="7" max="7" width="7.775" style="41" customWidth="1"/>
    <col min="8" max="8" width="12.8916666666667" style="41" customWidth="1"/>
    <col min="9" max="10" width="7.44166666666667" style="41" customWidth="1"/>
    <col min="11" max="11" width="8.89166666666667" style="41" customWidth="1"/>
    <col min="12" max="12" width="17.3333333333333" style="41" customWidth="1"/>
    <col min="13" max="13" width="22.0833333333333" style="42" customWidth="1"/>
    <col min="14" max="14" width="11.6666666666667" style="42"/>
    <col min="15" max="16" width="14.4416666666667" style="42" customWidth="1"/>
    <col min="17" max="25" width="13" style="42" customWidth="1"/>
    <col min="26" max="16384" width="9" style="42"/>
  </cols>
  <sheetData>
    <row r="1" ht="21" customHeight="1" spans="1:25">
      <c r="A1" s="4" t="e">
        <f>#REF!</f>
        <v>#REF!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O1" s="44">
        <v>1</v>
      </c>
      <c r="P1" s="44">
        <v>2</v>
      </c>
      <c r="Q1" s="44">
        <v>3</v>
      </c>
      <c r="R1" s="44">
        <v>4</v>
      </c>
      <c r="S1" s="44">
        <v>5</v>
      </c>
      <c r="T1" s="44">
        <v>6</v>
      </c>
      <c r="U1" s="44">
        <v>7</v>
      </c>
      <c r="V1" s="44">
        <v>8</v>
      </c>
      <c r="W1" s="44">
        <v>9</v>
      </c>
      <c r="X1" s="44">
        <v>10</v>
      </c>
      <c r="Y1" s="44">
        <v>11</v>
      </c>
    </row>
    <row r="2" ht="18.75" customHeight="1" spans="1:25">
      <c r="A2" s="45" t="s">
        <v>266</v>
      </c>
      <c r="B2" s="46"/>
      <c r="C2" s="46"/>
      <c r="D2" s="46"/>
      <c r="E2" s="46"/>
      <c r="F2" s="46"/>
      <c r="G2" s="47" t="s">
        <v>267</v>
      </c>
      <c r="H2" s="48"/>
      <c r="I2" s="47" t="s">
        <v>268</v>
      </c>
      <c r="J2" s="48"/>
      <c r="K2" s="47" t="s">
        <v>269</v>
      </c>
      <c r="L2" s="48"/>
      <c r="M2" s="49" t="s">
        <v>234</v>
      </c>
      <c r="N2" s="50" t="s">
        <v>235</v>
      </c>
      <c r="O2" s="51">
        <v>6608491523</v>
      </c>
      <c r="P2" s="51">
        <v>6608491524</v>
      </c>
      <c r="Q2" s="51">
        <v>6608442962</v>
      </c>
      <c r="R2" s="51">
        <v>6608544875</v>
      </c>
      <c r="S2" s="51">
        <v>6608442964</v>
      </c>
      <c r="T2" s="51">
        <v>6608519100</v>
      </c>
      <c r="U2" s="51">
        <v>6608442963</v>
      </c>
      <c r="V2" s="51">
        <v>6608516992</v>
      </c>
      <c r="W2" s="51">
        <v>6608442966</v>
      </c>
      <c r="X2" s="51">
        <v>6608442965</v>
      </c>
      <c r="Y2" s="51">
        <v>6608507680</v>
      </c>
    </row>
    <row r="3" ht="28.2" customHeight="1" spans="1:25">
      <c r="A3" s="52" t="s">
        <v>144</v>
      </c>
      <c r="B3" s="53" t="s">
        <v>145</v>
      </c>
      <c r="C3" s="53" t="s">
        <v>146</v>
      </c>
      <c r="D3" s="53" t="s">
        <v>236</v>
      </c>
      <c r="E3" s="53" t="s">
        <v>270</v>
      </c>
      <c r="F3" s="54" t="s">
        <v>149</v>
      </c>
      <c r="G3" s="55" t="s">
        <v>238</v>
      </c>
      <c r="H3" s="55" t="s">
        <v>239</v>
      </c>
      <c r="I3" s="55" t="s">
        <v>240</v>
      </c>
      <c r="J3" s="55" t="s">
        <v>241</v>
      </c>
      <c r="K3" s="55" t="s">
        <v>271</v>
      </c>
      <c r="L3" s="55" t="s">
        <v>272</v>
      </c>
      <c r="M3" s="56"/>
      <c r="N3" s="57"/>
      <c r="O3" s="58"/>
      <c r="P3" s="58"/>
      <c r="Q3" s="59"/>
      <c r="R3" s="59"/>
      <c r="S3" s="59"/>
      <c r="T3" s="59"/>
      <c r="U3" s="59"/>
      <c r="V3" s="59"/>
      <c r="W3" s="59"/>
      <c r="X3" s="59"/>
      <c r="Y3" s="59"/>
    </row>
    <row r="4" ht="18.75" customHeight="1" spans="1:25">
      <c r="A4" s="60" t="s">
        <v>273</v>
      </c>
      <c r="B4" s="61" t="s">
        <v>274</v>
      </c>
      <c r="C4" s="61" t="s">
        <v>275</v>
      </c>
      <c r="D4" s="61" t="s">
        <v>276</v>
      </c>
      <c r="E4" s="62" t="s">
        <v>277</v>
      </c>
      <c r="F4" s="61" t="s">
        <v>157</v>
      </c>
      <c r="G4" s="63">
        <f>SUM(O4:Y4)</f>
        <v>64</v>
      </c>
      <c r="H4" s="64"/>
      <c r="I4" s="65"/>
      <c r="J4" s="64"/>
      <c r="K4" s="66">
        <v>18</v>
      </c>
      <c r="L4" s="67">
        <f t="shared" ref="L4:L11" si="0">N4*K4</f>
        <v>75600</v>
      </c>
      <c r="M4" s="68"/>
      <c r="N4" s="68">
        <v>4200</v>
      </c>
      <c r="O4" s="69">
        <v>8.47826086956522</v>
      </c>
      <c r="P4" s="69">
        <v>1.69565217391305</v>
      </c>
      <c r="Q4" s="69">
        <v>1.1304347826087</v>
      </c>
      <c r="R4" s="69">
        <v>1.69565217391305</v>
      </c>
      <c r="S4" s="69">
        <v>6.8</v>
      </c>
      <c r="T4" s="70">
        <v>1.2</v>
      </c>
      <c r="U4" s="70">
        <v>2.23529411764707</v>
      </c>
      <c r="V4" s="70">
        <v>16.7647058823529</v>
      </c>
      <c r="W4" s="70">
        <v>18</v>
      </c>
      <c r="X4" s="70">
        <v>3.6</v>
      </c>
      <c r="Y4" s="70">
        <v>2.4</v>
      </c>
    </row>
    <row r="5" ht="18.75" customHeight="1" spans="1:25">
      <c r="A5" s="60" t="s">
        <v>273</v>
      </c>
      <c r="B5" s="61" t="s">
        <v>274</v>
      </c>
      <c r="C5" s="61" t="s">
        <v>278</v>
      </c>
      <c r="D5" s="61" t="s">
        <v>279</v>
      </c>
      <c r="E5" s="62" t="s">
        <v>187</v>
      </c>
      <c r="F5" s="61" t="s">
        <v>179</v>
      </c>
      <c r="G5" s="63">
        <f t="shared" ref="G5:G12" si="1">SUM(O5:Y5)</f>
        <v>9</v>
      </c>
      <c r="H5" s="64"/>
      <c r="I5" s="65"/>
      <c r="J5" s="64"/>
      <c r="K5" s="66">
        <v>0</v>
      </c>
      <c r="L5" s="67">
        <f t="shared" si="0"/>
        <v>0</v>
      </c>
      <c r="M5" s="71"/>
      <c r="N5" s="68">
        <v>40000</v>
      </c>
      <c r="O5" s="69">
        <v>0.652173913043478</v>
      </c>
      <c r="P5" s="69">
        <v>0.130434782608696</v>
      </c>
      <c r="Q5" s="69">
        <v>0.0869565217391304</v>
      </c>
      <c r="R5" s="69">
        <v>0.130434782608696</v>
      </c>
      <c r="S5" s="69">
        <v>0.85</v>
      </c>
      <c r="T5" s="70">
        <v>0.15</v>
      </c>
      <c r="U5" s="70">
        <v>0.35294117647059</v>
      </c>
      <c r="V5" s="70">
        <v>2.64705882352941</v>
      </c>
      <c r="W5" s="70">
        <v>3</v>
      </c>
      <c r="X5" s="70">
        <v>0.6</v>
      </c>
      <c r="Y5" s="70">
        <v>0.4</v>
      </c>
    </row>
    <row r="6" ht="18.75" customHeight="1" spans="1:25">
      <c r="A6" s="60" t="s">
        <v>273</v>
      </c>
      <c r="B6" s="61" t="s">
        <v>274</v>
      </c>
      <c r="C6" s="72" t="s">
        <v>278</v>
      </c>
      <c r="D6" s="14" t="s">
        <v>280</v>
      </c>
      <c r="E6" s="62" t="s">
        <v>281</v>
      </c>
      <c r="F6" s="61" t="s">
        <v>179</v>
      </c>
      <c r="G6" s="63">
        <f t="shared" si="1"/>
        <v>9</v>
      </c>
      <c r="H6" s="64"/>
      <c r="I6" s="65"/>
      <c r="J6" s="64"/>
      <c r="K6" s="66">
        <v>0</v>
      </c>
      <c r="L6" s="67">
        <f t="shared" si="0"/>
        <v>0</v>
      </c>
      <c r="M6" s="71"/>
      <c r="N6" s="73">
        <v>40000</v>
      </c>
      <c r="O6" s="74">
        <v>0.652173913043478</v>
      </c>
      <c r="P6" s="74">
        <v>0.130434782608696</v>
      </c>
      <c r="Q6" s="74">
        <v>0.0869565217391304</v>
      </c>
      <c r="R6" s="74">
        <v>0.130434782608696</v>
      </c>
      <c r="S6" s="74">
        <v>0.85</v>
      </c>
      <c r="T6" s="70">
        <v>0.15</v>
      </c>
      <c r="U6" s="70">
        <v>0.35294117647059</v>
      </c>
      <c r="V6" s="70">
        <v>2.64705882352941</v>
      </c>
      <c r="W6" s="70">
        <v>3</v>
      </c>
      <c r="X6" s="70">
        <v>0.6</v>
      </c>
      <c r="Y6" s="70">
        <v>0.4</v>
      </c>
    </row>
    <row r="7" ht="18.75" customHeight="1" spans="1:25">
      <c r="A7" s="75" t="s">
        <v>273</v>
      </c>
      <c r="B7" s="14" t="s">
        <v>274</v>
      </c>
      <c r="C7" s="14" t="s">
        <v>278</v>
      </c>
      <c r="D7" s="14" t="s">
        <v>282</v>
      </c>
      <c r="E7" s="76" t="s">
        <v>187</v>
      </c>
      <c r="F7" s="14" t="s">
        <v>179</v>
      </c>
      <c r="G7" s="63">
        <f t="shared" si="1"/>
        <v>0</v>
      </c>
      <c r="H7" s="77"/>
      <c r="I7" s="78"/>
      <c r="J7" s="55"/>
      <c r="K7" s="66">
        <f>G7-I7</f>
        <v>0</v>
      </c>
      <c r="L7" s="67">
        <f t="shared" si="0"/>
        <v>0</v>
      </c>
      <c r="M7" s="73"/>
      <c r="N7" s="73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 ht="39" customHeight="1" spans="1:25">
      <c r="A8" s="75" t="s">
        <v>273</v>
      </c>
      <c r="B8" s="14" t="s">
        <v>274</v>
      </c>
      <c r="C8" s="14" t="s">
        <v>278</v>
      </c>
      <c r="D8" s="14" t="s">
        <v>283</v>
      </c>
      <c r="E8" s="76" t="s">
        <v>187</v>
      </c>
      <c r="F8" s="14" t="s">
        <v>179</v>
      </c>
      <c r="G8" s="63">
        <f t="shared" si="1"/>
        <v>1</v>
      </c>
      <c r="H8" s="77"/>
      <c r="I8" s="78"/>
      <c r="J8" s="55"/>
      <c r="K8" s="66">
        <f>G8-I8</f>
        <v>1</v>
      </c>
      <c r="L8" s="67">
        <f t="shared" si="0"/>
        <v>4000</v>
      </c>
      <c r="M8" s="80" t="s">
        <v>284</v>
      </c>
      <c r="N8" s="73">
        <v>4000</v>
      </c>
      <c r="O8" s="79"/>
      <c r="P8" s="79"/>
      <c r="Q8" s="79"/>
      <c r="R8" s="79"/>
      <c r="S8" s="79"/>
      <c r="T8" s="79"/>
      <c r="U8" s="79"/>
      <c r="V8" s="79"/>
      <c r="W8" s="79">
        <v>0.75</v>
      </c>
      <c r="X8" s="79">
        <v>0.15</v>
      </c>
      <c r="Y8" s="79">
        <v>0.1</v>
      </c>
    </row>
    <row r="9" ht="18.75" customHeight="1" spans="1:25">
      <c r="A9" s="75" t="s">
        <v>273</v>
      </c>
      <c r="B9" s="14" t="s">
        <v>274</v>
      </c>
      <c r="C9" s="14" t="s">
        <v>278</v>
      </c>
      <c r="D9" s="14" t="s">
        <v>285</v>
      </c>
      <c r="E9" s="76" t="s">
        <v>187</v>
      </c>
      <c r="F9" s="14" t="s">
        <v>179</v>
      </c>
      <c r="G9" s="63">
        <f t="shared" si="1"/>
        <v>8.00000000000001</v>
      </c>
      <c r="H9" s="77"/>
      <c r="I9" s="78"/>
      <c r="J9" s="55"/>
      <c r="K9" s="66">
        <v>0</v>
      </c>
      <c r="L9" s="67">
        <f t="shared" si="0"/>
        <v>0</v>
      </c>
      <c r="M9" s="73"/>
      <c r="N9" s="73">
        <v>32000</v>
      </c>
      <c r="O9" s="79">
        <v>1.30434782608696</v>
      </c>
      <c r="P9" s="79">
        <v>0.260869565217392</v>
      </c>
      <c r="Q9" s="79">
        <v>0.173913043478261</v>
      </c>
      <c r="R9" s="79">
        <v>0.260869565217392</v>
      </c>
      <c r="S9" s="79">
        <v>0.85</v>
      </c>
      <c r="T9" s="79">
        <v>0.15</v>
      </c>
      <c r="U9" s="79"/>
      <c r="V9" s="79"/>
      <c r="W9" s="79">
        <v>3.75</v>
      </c>
      <c r="X9" s="79">
        <v>0.75</v>
      </c>
      <c r="Y9" s="79">
        <v>0.5</v>
      </c>
    </row>
    <row r="10" ht="18.75" customHeight="1" spans="1:25">
      <c r="A10" s="75" t="s">
        <v>273</v>
      </c>
      <c r="B10" s="14" t="s">
        <v>274</v>
      </c>
      <c r="C10" s="14" t="s">
        <v>286</v>
      </c>
      <c r="D10" s="14" t="s">
        <v>287</v>
      </c>
      <c r="E10" s="76"/>
      <c r="F10" s="14" t="s">
        <v>179</v>
      </c>
      <c r="G10" s="63">
        <f t="shared" si="1"/>
        <v>1</v>
      </c>
      <c r="H10" s="55"/>
      <c r="I10" s="78"/>
      <c r="J10" s="55"/>
      <c r="K10" s="66">
        <v>0</v>
      </c>
      <c r="L10" s="67">
        <f t="shared" si="0"/>
        <v>0</v>
      </c>
      <c r="M10" s="73"/>
      <c r="N10" s="73">
        <v>32000</v>
      </c>
      <c r="O10" s="79"/>
      <c r="P10" s="79"/>
      <c r="Q10" s="79"/>
      <c r="R10" s="79"/>
      <c r="S10" s="79"/>
      <c r="T10" s="79"/>
      <c r="U10" s="79"/>
      <c r="V10" s="79"/>
      <c r="W10" s="79">
        <v>0.75</v>
      </c>
      <c r="X10" s="79">
        <v>0.15</v>
      </c>
      <c r="Y10" s="79">
        <v>0.1</v>
      </c>
    </row>
    <row r="11" ht="18.75" customHeight="1" spans="1:25">
      <c r="A11" s="75" t="s">
        <v>273</v>
      </c>
      <c r="B11" s="14" t="s">
        <v>274</v>
      </c>
      <c r="C11" s="14" t="s">
        <v>278</v>
      </c>
      <c r="D11" s="14" t="s">
        <v>288</v>
      </c>
      <c r="E11" s="76"/>
      <c r="F11" s="14"/>
      <c r="G11" s="63">
        <f t="shared" si="1"/>
        <v>1</v>
      </c>
      <c r="H11" s="55"/>
      <c r="I11" s="78"/>
      <c r="J11" s="55"/>
      <c r="K11" s="66">
        <v>0</v>
      </c>
      <c r="L11" s="67">
        <f t="shared" si="0"/>
        <v>0</v>
      </c>
      <c r="M11" s="81"/>
      <c r="N11" s="73">
        <v>1000</v>
      </c>
      <c r="O11" s="79"/>
      <c r="P11" s="79"/>
      <c r="Q11" s="79"/>
      <c r="R11" s="79"/>
      <c r="S11" s="79"/>
      <c r="T11" s="79"/>
      <c r="U11" s="79"/>
      <c r="V11" s="79"/>
      <c r="W11" s="79">
        <v>0.75</v>
      </c>
      <c r="X11" s="79">
        <v>0.15</v>
      </c>
      <c r="Y11" s="79">
        <v>0.1</v>
      </c>
    </row>
    <row r="12" ht="18.75" customHeight="1" spans="1:25">
      <c r="A12" s="75"/>
      <c r="B12" s="14"/>
      <c r="C12" s="14"/>
      <c r="D12" s="14"/>
      <c r="E12" s="76"/>
      <c r="F12" s="14"/>
      <c r="G12" s="63">
        <f t="shared" si="1"/>
        <v>0</v>
      </c>
      <c r="H12" s="55"/>
      <c r="I12" s="78"/>
      <c r="J12" s="55"/>
      <c r="K12" s="82"/>
      <c r="L12" s="55"/>
      <c r="M12" s="56"/>
      <c r="N12" s="56"/>
      <c r="O12" s="56"/>
      <c r="P12" s="56"/>
      <c r="Q12" s="83"/>
      <c r="R12" s="83"/>
      <c r="S12" s="56"/>
      <c r="T12" s="56"/>
      <c r="U12" s="56"/>
      <c r="V12" s="56"/>
      <c r="W12" s="56"/>
      <c r="X12" s="56"/>
      <c r="Y12" s="56"/>
    </row>
    <row r="13" ht="18.75" customHeight="1" spans="1:25">
      <c r="A13" s="75"/>
      <c r="B13" s="14"/>
      <c r="C13" s="14"/>
      <c r="D13" s="14"/>
      <c r="E13" s="76"/>
      <c r="F13" s="14"/>
      <c r="G13" s="82"/>
      <c r="H13" s="55"/>
      <c r="I13" s="78"/>
      <c r="J13" s="55"/>
      <c r="K13" s="82"/>
      <c r="L13" s="55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ht="18.75" customHeight="1" spans="1:25">
      <c r="A14" s="75"/>
      <c r="B14" s="14"/>
      <c r="C14" s="14"/>
      <c r="D14" s="14"/>
      <c r="E14" s="76"/>
      <c r="F14" s="14"/>
      <c r="G14" s="82"/>
      <c r="H14" s="55"/>
      <c r="I14" s="78"/>
      <c r="J14" s="55"/>
      <c r="K14" s="82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</row>
    <row r="15" ht="17.25" customHeight="1" spans="1:25">
      <c r="A15" s="84"/>
      <c r="B15" s="84"/>
      <c r="C15" s="84"/>
      <c r="D15" s="84"/>
      <c r="E15" s="84"/>
      <c r="F15" s="84"/>
      <c r="G15" s="85"/>
      <c r="H15" s="86"/>
      <c r="I15" s="85"/>
      <c r="J15" s="86"/>
      <c r="K15" s="85" t="s">
        <v>207</v>
      </c>
      <c r="L15" s="86" cm="1">
        <f t="array" ref="L15">SUMPRODUCT(G4:G12,N4:N12)</f>
        <v>1281800</v>
      </c>
      <c r="M15" s="87"/>
      <c r="N15" s="88"/>
      <c r="O15" s="89" t="e" cm="1">
        <f t="array" ref="O15">SUMPRODUCT(O4:O10,$N$4:$N$10)/O19</f>
        <v>#REF!</v>
      </c>
      <c r="P15" s="89" t="e" cm="1">
        <f t="array" ref="P15">SUMPRODUCT(P4:P10,$N$4:$N$10)/P19</f>
        <v>#REF!</v>
      </c>
      <c r="Q15" s="89" t="e" cm="1">
        <f t="array" ref="Q15">SUMPRODUCT(Q4:Q10,$N$4:$N$10)/Q19</f>
        <v>#REF!</v>
      </c>
      <c r="R15" s="89" t="e" cm="1">
        <f t="array" ref="R15">SUMPRODUCT(R4:R10,$N$4:$N$10)/R19</f>
        <v>#REF!</v>
      </c>
      <c r="S15" s="89" t="e" cm="1">
        <f t="array" ref="S15">SUMPRODUCT(S4:S10,$N$4:$N$10)/S19</f>
        <v>#REF!</v>
      </c>
      <c r="T15" s="89" t="e" cm="1">
        <f t="array" ref="T15">SUMPRODUCT(T4:T10,$N$4:$N$10)/T19</f>
        <v>#REF!</v>
      </c>
      <c r="U15" s="89" t="e" cm="1">
        <f t="array" ref="U15">SUMPRODUCT(U4:U10,$N$4:$N$10)/U19</f>
        <v>#REF!</v>
      </c>
      <c r="V15" s="89" t="e" cm="1">
        <f t="array" ref="V15">SUMPRODUCT(V4:V10,$N$4:$N$10)/V19</f>
        <v>#REF!</v>
      </c>
      <c r="W15" s="89" t="e" cm="1">
        <f t="array" ref="W15">SUMPRODUCT(W4:W10,$N$4:$N$10)/W19</f>
        <v>#REF!</v>
      </c>
      <c r="X15" s="89" t="e" cm="1">
        <f t="array" ref="X15">SUMPRODUCT(X4:X10,$N$4:$N$10)/X19</f>
        <v>#REF!</v>
      </c>
      <c r="Y15" s="89" t="e" cm="1">
        <f t="array" ref="Y15">SUMPRODUCT(Y4:Y10,$N$4:$N$10)/Y19</f>
        <v>#REF!</v>
      </c>
    </row>
    <row r="16" ht="17.25" customHeight="1" spans="1:25">
      <c r="G16" s="90"/>
      <c r="H16" s="91"/>
      <c r="I16" s="90"/>
      <c r="J16" s="91"/>
      <c r="K16" s="90" t="s">
        <v>289</v>
      </c>
      <c r="L16" s="91" t="e">
        <f>L15/#REF!</f>
        <v>#REF!</v>
      </c>
      <c r="M16" s="41"/>
    </row>
    <row r="17" ht="17.25" customHeight="1" spans="12:25">
      <c r="N17" s="92" t="str">
        <f>项目专用模具!N16</f>
        <v>装车比</v>
      </c>
      <c r="O17" s="92" t="e">
        <f>#REF!</f>
        <v>#REF!</v>
      </c>
      <c r="P17" s="92" t="e">
        <f>#REF!</f>
        <v>#REF!</v>
      </c>
      <c r="Q17" s="92" t="e">
        <f>#REF!</f>
        <v>#REF!</v>
      </c>
      <c r="R17" s="92" t="e">
        <f>#REF!</f>
        <v>#REF!</v>
      </c>
      <c r="S17" s="92" t="e">
        <f>#REF!</f>
        <v>#REF!</v>
      </c>
      <c r="T17" s="92" t="e">
        <f>#REF!</f>
        <v>#REF!</v>
      </c>
      <c r="U17" s="92" t="e">
        <f>#REF!</f>
        <v>#REF!</v>
      </c>
      <c r="V17" s="92" t="e">
        <f>#REF!</f>
        <v>#REF!</v>
      </c>
      <c r="W17" s="92" t="e">
        <f>#REF!</f>
        <v>#REF!</v>
      </c>
      <c r="X17" s="92" t="e">
        <f>#REF!</f>
        <v>#REF!</v>
      </c>
      <c r="Y17" s="92" t="e">
        <f>#REF!</f>
        <v>#REF!</v>
      </c>
    </row>
    <row r="18" s="41" customFormat="1" ht="20.1" customHeight="1" spans="12:25">
      <c r="M18" s="41" t="s">
        <v>290</v>
      </c>
      <c r="N18" s="92" t="str">
        <f>项目专用模具!N17</f>
        <v>总量纲</v>
      </c>
      <c r="O18" s="92" t="e">
        <f>#REF!</f>
        <v>#REF!</v>
      </c>
      <c r="P18" s="92" t="e">
        <f>#REF!</f>
        <v>#REF!</v>
      </c>
      <c r="Q18" s="92" t="e">
        <f>#REF!</f>
        <v>#REF!</v>
      </c>
      <c r="R18" s="92" t="e">
        <f>#REF!</f>
        <v>#REF!</v>
      </c>
      <c r="S18" s="92" t="e">
        <f>#REF!</f>
        <v>#REF!</v>
      </c>
      <c r="T18" s="92" t="e">
        <f>#REF!</f>
        <v>#REF!</v>
      </c>
      <c r="U18" s="92" t="e">
        <f>#REF!</f>
        <v>#REF!</v>
      </c>
      <c r="V18" s="92" t="e">
        <f>#REF!</f>
        <v>#REF!</v>
      </c>
      <c r="W18" s="92" t="e">
        <f>#REF!</f>
        <v>#REF!</v>
      </c>
      <c r="X18" s="92" t="e">
        <f>#REF!</f>
        <v>#REF!</v>
      </c>
      <c r="Y18" s="92" t="e">
        <f>#REF!</f>
        <v>#REF!</v>
      </c>
    </row>
    <row r="19" s="41" customFormat="1" ht="20.1" customHeight="1" spans="12:25">
      <c r="N19" s="92" t="str">
        <f>项目专用模具!N18</f>
        <v>数量</v>
      </c>
      <c r="O19" s="92" t="e">
        <f>O17*O18</f>
        <v>#REF!</v>
      </c>
      <c r="P19" s="92" t="e">
        <f t="shared" ref="P19:Y19" si="2">P17*P18</f>
        <v>#REF!</v>
      </c>
      <c r="Q19" s="92" t="e">
        <f t="shared" si="2"/>
        <v>#REF!</v>
      </c>
      <c r="R19" s="92" t="e">
        <f t="shared" si="2"/>
        <v>#REF!</v>
      </c>
      <c r="S19" s="92" t="e">
        <f t="shared" si="2"/>
        <v>#REF!</v>
      </c>
      <c r="T19" s="92" t="e">
        <f t="shared" si="2"/>
        <v>#REF!</v>
      </c>
      <c r="U19" s="92" t="e">
        <f t="shared" si="2"/>
        <v>#REF!</v>
      </c>
      <c r="V19" s="92" t="e">
        <f t="shared" si="2"/>
        <v>#REF!</v>
      </c>
      <c r="W19" s="92" t="e">
        <f t="shared" si="2"/>
        <v>#REF!</v>
      </c>
      <c r="X19" s="92" t="e">
        <f t="shared" si="2"/>
        <v>#REF!</v>
      </c>
      <c r="Y19" s="92" t="e">
        <f t="shared" si="2"/>
        <v>#REF!</v>
      </c>
    </row>
    <row r="20" s="41" customFormat="1" ht="20.1" customHeight="1" spans="12:25">
      <c r="L20" s="93" t="e">
        <f>#REF!</f>
        <v>#REF!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</row>
    <row r="21" s="41" customFormat="1" ht="20.1" customHeight="1" spans="12:25">
      <c r="L21" s="41" t="e">
        <f>L20/50000</f>
        <v>#REF!</v>
      </c>
    </row>
    <row r="22" s="41" customFormat="1" ht="20.1" customHeight="1" spans="12:25">
      <c r="M22" s="94" t="e" cm="1">
        <f t="array" ref="M22">SUMPRODUCT(O15:Y15,O17:Y17)</f>
        <v>#REF!</v>
      </c>
    </row>
    <row r="23" s="41" customFormat="1" ht="20.1" customHeight="1" spans="12:25">
      <c r="L23" s="41" t="e">
        <f>L15-L20</f>
        <v>#REF!</v>
      </c>
    </row>
    <row r="24" s="41" customFormat="1" ht="20.1" customHeight="1"/>
    <row r="25" s="41" customFormat="1" ht="20.1" customHeight="1" spans="12:25">
      <c r="L25" s="93" t="e">
        <f>L23/#REF!</f>
        <v>#REF!</v>
      </c>
      <c r="N25" s="93" t="e">
        <f>50000*L21+L25*35000</f>
        <v>#REF!</v>
      </c>
    </row>
    <row r="26" s="41" customFormat="1" ht="20.1" customHeight="1"/>
    <row r="27" s="41" customFormat="1" ht="20.1" customHeight="1" spans="12:25">
      <c r="N27" s="93" t="e">
        <f>N25/#REF!</f>
        <v>#REF!</v>
      </c>
    </row>
    <row r="28" s="41" customFormat="1" ht="20.1" customHeight="1"/>
    <row r="29" s="41" customFormat="1" ht="20.1" customHeight="1"/>
    <row r="30" s="41" customFormat="1" ht="20.1" customHeight="1"/>
    <row r="31" s="41" customFormat="1" ht="20.1" customHeight="1"/>
    <row r="32" s="41" customFormat="1" ht="20.1" customHeight="1"/>
    <row r="33" s="41" customFormat="1" ht="20.1" customHeight="1"/>
    <row r="34" s="41" customFormat="1" ht="20.1" customHeight="1"/>
    <row r="35" s="41" customFormat="1" ht="20.1" customHeight="1"/>
    <row r="36" s="41" customFormat="1" ht="20.1" customHeight="1"/>
    <row r="37" s="41" customFormat="1" ht="20.1" customHeight="1"/>
    <row r="38" s="41" customFormat="1" ht="20.1" customHeight="1"/>
    <row r="39" s="41" customFormat="1" ht="20.1" customHeight="1"/>
    <row r="40" s="41" customFormat="1" ht="20.1" customHeight="1"/>
    <row r="41" s="41" customFormat="1" ht="20.1" customHeight="1"/>
    <row r="42" s="41" customFormat="1" ht="20.1" customHeight="1"/>
    <row r="43" s="41" customFormat="1" ht="20.1" customHeight="1"/>
    <row r="44" s="41" customFormat="1" ht="20.1" customHeight="1"/>
    <row r="45" s="41" customFormat="1" ht="20.1" customHeight="1"/>
    <row r="46" s="41" customFormat="1" ht="20.1" customHeight="1"/>
    <row r="47" s="41" customFormat="1" ht="20.1" customHeight="1"/>
    <row r="48" s="41" customFormat="1" ht="20.1" customHeight="1"/>
    <row r="49" s="41" customFormat="1" ht="20.1" customHeight="1"/>
    <row r="50" s="41" customFormat="1" ht="20.1" customHeight="1"/>
    <row r="51" s="41" customFormat="1" ht="20.1" customHeight="1"/>
    <row r="52" s="41" customFormat="1" ht="20.1" customHeight="1"/>
    <row r="53" s="41" customFormat="1" ht="20.1" customHeight="1"/>
    <row r="54" s="41" customFormat="1" ht="20.1" customHeight="1"/>
    <row r="55" s="41" customFormat="1" ht="20.1" customHeight="1"/>
    <row r="56" s="41" customFormat="1" ht="20.1" customHeight="1"/>
    <row r="57" s="41" customFormat="1" ht="20.1" customHeight="1"/>
    <row r="58" s="41" customFormat="1" ht="20.1" customHeight="1"/>
    <row r="59" s="41" customFormat="1" ht="20.1" customHeight="1"/>
    <row r="60" s="41" customFormat="1" ht="20.1" customHeight="1"/>
    <row r="61" s="41" customFormat="1" ht="20.1" customHeight="1"/>
    <row r="62" s="41" customFormat="1" ht="20.1" customHeight="1"/>
    <row r="63" s="41" customFormat="1" ht="20.1" customHeight="1"/>
    <row r="64" s="41" customFormat="1" ht="20.1" customHeight="1"/>
    <row r="65" s="41" customFormat="1" ht="20.1" customHeight="1"/>
    <row r="66" s="41" customFormat="1" ht="20.1" customHeight="1"/>
    <row r="67" s="41" customFormat="1" ht="20.1" customHeight="1"/>
    <row r="68" s="41" customFormat="1" ht="20.1" customHeight="1"/>
    <row r="69" s="41" customFormat="1" ht="20.1" customHeight="1"/>
    <row r="70" s="41" customFormat="1" ht="20.1" customHeight="1"/>
    <row r="71" s="41" customFormat="1" ht="20.1" customHeight="1"/>
    <row r="72" s="41" customFormat="1" ht="20.1" customHeight="1"/>
    <row r="73" s="41" customFormat="1" ht="20.1" customHeight="1"/>
    <row r="74" s="41" customFormat="1" ht="20.1" customHeight="1"/>
    <row r="75" s="41" customFormat="1" ht="20.1" customHeight="1"/>
    <row r="76" s="41" customFormat="1" ht="20.1" customHeight="1"/>
    <row r="77" s="41" customFormat="1" ht="20.1" customHeight="1"/>
    <row r="78" s="41" customFormat="1" ht="20.1" customHeight="1"/>
    <row r="79" s="41" customFormat="1" ht="20.1" customHeight="1"/>
    <row r="80" s="41" customFormat="1" ht="20.1" customHeight="1"/>
    <row r="81" s="41" customFormat="1" ht="20.1" customHeight="1"/>
    <row r="82" s="41" customFormat="1" ht="20.1" customHeight="1"/>
    <row r="83" s="41" customFormat="1" ht="20.1" customHeight="1"/>
    <row r="84" s="41" customFormat="1" ht="20.1" customHeight="1"/>
    <row r="85" s="41" customFormat="1" ht="20.1" customHeight="1"/>
    <row r="86" s="41" customFormat="1" ht="20.1" customHeight="1"/>
    <row r="87" s="41" customFormat="1" ht="20.1" customHeight="1"/>
    <row r="88" s="41" customFormat="1" ht="20.1" customHeight="1"/>
    <row r="89" s="41" customFormat="1" ht="20.1" customHeight="1"/>
    <row r="90" s="41" customFormat="1" ht="20.1" customHeight="1"/>
    <row r="91" s="41" customFormat="1" ht="20.1" customHeight="1"/>
    <row r="92" s="41" customFormat="1" ht="20.1" customHeight="1"/>
    <row r="93" s="41" customFormat="1" ht="20.1" customHeight="1"/>
    <row r="94" s="41" customFormat="1" ht="20.1" customHeight="1"/>
    <row r="95" s="41" customFormat="1" ht="20.1" customHeight="1"/>
    <row r="96" s="41" customFormat="1" ht="20.1" customHeight="1"/>
    <row r="97" s="41" customFormat="1" ht="20.1" customHeight="1"/>
    <row r="98" s="41" customFormat="1" ht="20.1" customHeight="1"/>
    <row r="99" s="41" customFormat="1" ht="20.1" customHeight="1"/>
    <row r="100" s="41" customFormat="1" ht="20.1" customHeight="1"/>
    <row r="101" s="41" customFormat="1" ht="20.1" customHeight="1"/>
    <row r="102" s="41" customFormat="1" ht="20.1" customHeight="1"/>
    <row r="103" s="41" customFormat="1" ht="20.1" customHeight="1"/>
    <row r="104" s="41" customFormat="1" ht="20.1" customHeight="1"/>
    <row r="105" s="41" customFormat="1" ht="20.1" customHeight="1"/>
    <row r="106" s="41" customFormat="1" ht="20.1" customHeight="1"/>
    <row r="107" s="41" customFormat="1" ht="20.1" customHeight="1"/>
    <row r="108" s="41" customFormat="1" ht="20.1" customHeight="1"/>
    <row r="109" s="41" customFormat="1" ht="20.1" customHeight="1"/>
    <row r="110" s="41" customFormat="1" ht="20.1" customHeight="1"/>
    <row r="111" s="41" customFormat="1" ht="20.1" customHeight="1"/>
    <row r="112" s="41" customFormat="1" ht="20.1" customHeight="1"/>
    <row r="113" s="41" customFormat="1" ht="20.1" customHeight="1"/>
    <row r="114" s="41" customFormat="1" ht="20.1" customHeight="1"/>
    <row r="115" s="41" customFormat="1" ht="20.1" customHeight="1"/>
    <row r="116" s="41" customFormat="1" ht="20.1" customHeight="1"/>
  </sheetData>
  <protectedRanges>
    <protectedRange sqref="N15:T15" name="区域1_11"/>
    <protectedRange sqref="K7:K13 E7:G13" name="区域1_3"/>
    <protectedRange sqref="E4:E6" name="区域1_3_1"/>
    <protectedRange sqref="G4:J6 L4:L10" name="区域1"/>
    <protectedRange sqref="M4:N6" name="区域1_11_1"/>
    <protectedRange sqref="K4:K6" name="区域1_2"/>
    <protectedRange sqref="E4:F6" name="区域1_3_2"/>
  </protectedRanges>
  <autoFilter xmlns:etc="http://www.wps.cn/officeDocument/2017/etCustomData" ref="A3:M16" etc:filterBottomFollowUsedRange="0">
    <extLst/>
  </autoFilter>
  <mergeCells count="5">
    <mergeCell ref="A2:F2"/>
    <mergeCell ref="G2:H2"/>
    <mergeCell ref="I2:J2"/>
    <mergeCell ref="K2:L2"/>
    <mergeCell ref="M2:M3"/>
  </mergeCells>
  <dataValidations count="2">
    <dataValidation type="list" allowBlank="1" showInputMessage="1" showErrorMessage="1" sqref="C4:C13">
      <formula1>专用工装设备大类</formula1>
    </dataValidation>
    <dataValidation type="list" allowBlank="1" showInputMessage="1" showErrorMessage="1" sqref="D4:D6 D8:D13">
      <formula1>专用工装设备名称</formula1>
    </dataValidation>
  </dataValidations>
  <pageMargins left="0.708661417322835" right="0.708661417322835" top="0.748031496062992" bottom="0.748031496062992" header="0.31496062992126" footer="0.31496062992126"/>
  <pageSetup paperSize="9" scale="53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G29"/>
  <sheetViews>
    <sheetView showGridLines="0" tabSelected="1" workbookViewId="0">
      <selection activeCell="G23" sqref="G23"/>
    </sheetView>
  </sheetViews>
  <sheetFormatPr defaultColWidth="8.89166666666667" defaultRowHeight="16.5" outlineLevelCol="6"/>
  <cols>
    <col min="1" max="1" width="12.225" style="2" customWidth="1"/>
    <col min="2" max="2" width="19.3333333333333" style="2" customWidth="1"/>
    <col min="3" max="3" width="18.4416666666667" style="2" customWidth="1"/>
    <col min="4" max="4" width="8.89166666666667" style="2" customWidth="1"/>
    <col min="5" max="5" width="12.8916666666667" style="2" customWidth="1"/>
    <col min="6" max="6" width="17.225" style="3" customWidth="1"/>
    <col min="7" max="7" width="46.4416666666667" style="2" customWidth="1"/>
    <col min="8" max="16384" width="8.89166666666667" style="2"/>
  </cols>
  <sheetData>
    <row r="1" s="1" customFormat="1" ht="25.5" customHeight="1" spans="1:7">
      <c r="A1" s="4" t="e">
        <f>#REF!</f>
        <v>#REF!</v>
      </c>
      <c r="B1" s="5"/>
      <c r="C1" s="5"/>
      <c r="D1" s="6"/>
      <c r="E1" s="6"/>
      <c r="F1" s="7" t="s">
        <v>291</v>
      </c>
      <c r="G1" s="7"/>
    </row>
    <row r="2" ht="14.25" customHeight="1" spans="1:7">
      <c r="A2" s="8" t="s">
        <v>292</v>
      </c>
      <c r="B2" s="9"/>
      <c r="C2" s="9"/>
      <c r="D2" s="9"/>
      <c r="E2" s="10"/>
      <c r="F2" s="10"/>
      <c r="G2" s="11" t="s">
        <v>234</v>
      </c>
    </row>
    <row r="3" ht="50.25" customHeight="1" spans="1:7">
      <c r="A3" s="12" t="s">
        <v>144</v>
      </c>
      <c r="B3" s="13" t="s">
        <v>145</v>
      </c>
      <c r="C3" s="13" t="s">
        <v>146</v>
      </c>
      <c r="D3" s="14" t="s">
        <v>149</v>
      </c>
      <c r="E3" s="15" t="s">
        <v>242</v>
      </c>
      <c r="F3" s="16" t="s">
        <v>243</v>
      </c>
      <c r="G3" s="17"/>
    </row>
    <row r="4" spans="1:7">
      <c r="A4" s="12" t="s">
        <v>293</v>
      </c>
      <c r="B4" s="12" t="s">
        <v>294</v>
      </c>
      <c r="C4" s="12" t="s">
        <v>295</v>
      </c>
      <c r="D4" s="18"/>
      <c r="E4" s="19"/>
      <c r="F4" s="20"/>
      <c r="G4" s="21"/>
    </row>
    <row r="5" ht="23.1" customHeight="1" spans="1:7">
      <c r="A5" s="12" t="s">
        <v>296</v>
      </c>
      <c r="B5" s="12" t="s">
        <v>294</v>
      </c>
      <c r="C5" s="12" t="s">
        <v>297</v>
      </c>
      <c r="D5" s="18"/>
      <c r="E5" s="22"/>
      <c r="F5" s="23"/>
      <c r="G5" s="21"/>
    </row>
    <row r="6" spans="1:7">
      <c r="A6" s="12" t="s">
        <v>298</v>
      </c>
      <c r="B6" s="12" t="s">
        <v>294</v>
      </c>
      <c r="C6" s="12" t="s">
        <v>299</v>
      </c>
      <c r="D6" s="18"/>
      <c r="E6" s="22"/>
      <c r="F6" s="22">
        <v>50000</v>
      </c>
      <c r="G6" s="21"/>
    </row>
    <row r="7" spans="1:7">
      <c r="A7" s="12" t="s">
        <v>300</v>
      </c>
      <c r="B7" s="12" t="s">
        <v>294</v>
      </c>
      <c r="C7" s="12" t="s">
        <v>301</v>
      </c>
      <c r="D7" s="12"/>
      <c r="E7" s="19"/>
      <c r="F7" s="19"/>
      <c r="G7" s="21"/>
    </row>
    <row r="8" spans="1:7">
      <c r="A8" s="12" t="s">
        <v>302</v>
      </c>
      <c r="B8" s="12" t="s">
        <v>294</v>
      </c>
      <c r="C8" s="12" t="s">
        <v>303</v>
      </c>
      <c r="D8" s="18"/>
      <c r="E8" s="24"/>
      <c r="F8" s="24">
        <v>10800</v>
      </c>
      <c r="G8" s="21"/>
    </row>
    <row r="9" spans="1:7">
      <c r="A9" s="12" t="s">
        <v>304</v>
      </c>
      <c r="B9" s="12" t="s">
        <v>294</v>
      </c>
      <c r="C9" s="12" t="s">
        <v>305</v>
      </c>
      <c r="D9" s="18"/>
      <c r="E9" s="24"/>
      <c r="F9" s="24"/>
      <c r="G9" s="21"/>
    </row>
    <row r="10" spans="1:7">
      <c r="A10" s="12" t="s">
        <v>306</v>
      </c>
      <c r="B10" s="12" t="s">
        <v>294</v>
      </c>
      <c r="C10" s="12" t="s">
        <v>307</v>
      </c>
      <c r="D10" s="12"/>
      <c r="E10" s="22"/>
      <c r="F10" s="22">
        <v>166000</v>
      </c>
      <c r="G10" s="21"/>
    </row>
    <row r="11" spans="1:7">
      <c r="A11" s="12" t="s">
        <v>308</v>
      </c>
      <c r="B11" s="12" t="s">
        <v>294</v>
      </c>
      <c r="C11" s="12" t="s">
        <v>309</v>
      </c>
      <c r="D11" s="12"/>
      <c r="E11" s="22"/>
      <c r="F11" s="25"/>
      <c r="G11" s="21"/>
    </row>
    <row r="12" spans="1:7">
      <c r="A12" s="12" t="s">
        <v>310</v>
      </c>
      <c r="B12" s="12" t="s">
        <v>294</v>
      </c>
      <c r="C12" s="12" t="s">
        <v>311</v>
      </c>
      <c r="D12" s="12"/>
      <c r="E12" s="22"/>
      <c r="F12" s="20"/>
      <c r="G12" s="21"/>
    </row>
    <row r="13" spans="1:7">
      <c r="A13" s="12" t="s">
        <v>312</v>
      </c>
      <c r="B13" s="12" t="s">
        <v>294</v>
      </c>
      <c r="C13" s="12" t="s">
        <v>313</v>
      </c>
      <c r="D13" s="12"/>
      <c r="E13" s="22"/>
      <c r="F13" s="23"/>
      <c r="G13" s="21"/>
    </row>
    <row r="14" spans="1:7">
      <c r="A14" s="12" t="s">
        <v>314</v>
      </c>
      <c r="B14" s="12" t="s">
        <v>294</v>
      </c>
      <c r="C14" s="12" t="s">
        <v>315</v>
      </c>
      <c r="D14" s="12"/>
      <c r="E14" s="22"/>
      <c r="F14" s="26"/>
      <c r="G14" s="21"/>
    </row>
    <row r="15" spans="1:7">
      <c r="A15" s="12" t="s">
        <v>314</v>
      </c>
      <c r="B15" s="12" t="s">
        <v>294</v>
      </c>
      <c r="C15" s="12" t="s">
        <v>316</v>
      </c>
      <c r="D15" s="12"/>
      <c r="E15" s="22"/>
      <c r="F15" s="23"/>
      <c r="G15" s="27" t="s">
        <v>317</v>
      </c>
    </row>
    <row r="16" spans="1:7">
      <c r="A16" s="12" t="s">
        <v>318</v>
      </c>
      <c r="B16" s="12" t="s">
        <v>294</v>
      </c>
      <c r="C16" s="12" t="s">
        <v>319</v>
      </c>
      <c r="D16" s="12"/>
      <c r="E16" s="22"/>
      <c r="F16" s="23"/>
      <c r="G16" s="21"/>
    </row>
    <row r="17" spans="1:7">
      <c r="A17" s="12" t="s">
        <v>320</v>
      </c>
      <c r="B17" s="12" t="s">
        <v>294</v>
      </c>
      <c r="C17" s="12" t="s">
        <v>321</v>
      </c>
      <c r="D17" s="12"/>
      <c r="E17" s="22"/>
      <c r="F17" s="23"/>
      <c r="G17" s="21"/>
    </row>
    <row r="18" ht="17.25" spans="1:7">
      <c r="A18" s="28"/>
      <c r="B18" s="28"/>
      <c r="C18" s="28"/>
      <c r="D18" s="28"/>
      <c r="E18" s="29" t="s">
        <v>207</v>
      </c>
      <c r="F18" s="30">
        <f>SUM(F4:F17)</f>
        <v>226800</v>
      </c>
      <c r="G18" s="31"/>
    </row>
    <row r="19" spans="1:7">
      <c r="E19" s="32" t="s">
        <v>289</v>
      </c>
      <c r="F19" s="33" t="e">
        <f>F18/#REF!</f>
        <v>#REF!</v>
      </c>
      <c r="G19" s="34"/>
    </row>
    <row r="20" spans="1:7">
      <c r="A20" s="35"/>
      <c r="B20" s="35"/>
      <c r="C20" s="35"/>
      <c r="D20" s="35"/>
      <c r="E20" s="36"/>
      <c r="F20" s="37"/>
      <c r="G20" s="36"/>
    </row>
    <row r="21" spans="1:7">
      <c r="C21" s="38"/>
      <c r="D21" s="39"/>
      <c r="F21" s="3" t="e">
        <f>F19/#REF!</f>
        <v>#REF!</v>
      </c>
      <c r="G21" s="2" t="s">
        <v>322</v>
      </c>
    </row>
    <row r="22" spans="1:7">
      <c r="C22" s="38"/>
      <c r="D22" s="39"/>
    </row>
    <row r="29" spans="1:7">
      <c r="G29" s="40"/>
    </row>
  </sheetData>
  <mergeCells count="4">
    <mergeCell ref="D1:E1"/>
    <mergeCell ref="F1:G1"/>
    <mergeCell ref="A2:D2"/>
    <mergeCell ref="E2:F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3" master="" otherUserPermission="visible"/>
  <rangeList sheetStid="23" master="" otherUserPermission="visible"/>
  <rangeList sheetStid="45" master="" otherUserPermission="visible"/>
  <rangeList sheetStid="46" master="" otherUserPermission="visible"/>
  <rangeList sheetStid="26" master="" otherUserPermission="visible">
    <arrUserId title="区域1_4" rangeCreator="" othersAccessPermission="edit"/>
    <arrUserId title="区域1_5" rangeCreator="" othersAccessPermission="edit"/>
    <arrUserId title="区域1_4_1_2" rangeCreator="" othersAccessPermission="edit"/>
    <arrUserId title="区域1_1_1" rangeCreator="" othersAccessPermission="edit"/>
    <arrUserId title="区域1_5_1_1" rangeCreator="" othersAccessPermission="edit"/>
    <arrUserId title="区域1_4_2" rangeCreator="" othersAccessPermission="edit"/>
    <arrUserId title="区域1_4_1" rangeCreator="" othersAccessPermission="edit"/>
    <arrUserId title="区域1_5_2" rangeCreator="" othersAccessPermission="edit"/>
    <arrUserId title="区域1_4_1_1" rangeCreator="" othersAccessPermission="edit"/>
    <arrUserId title="区域1_4_1_3" rangeCreator="" othersAccessPermission="edit"/>
  </rangeList>
  <rangeList sheetStid="27" master="" otherUserPermission="visible"/>
  <rangeList sheetStid="28" master="" otherUserPermission="visible">
    <arrUserId title="区域1_11" rangeCreator="" othersAccessPermission="edit"/>
    <arrUserId title="区域1_3" rangeCreator="" othersAccessPermission="edit"/>
    <arrUserId title="区域1_3_1" rangeCreator="" othersAccessPermission="edit"/>
    <arrUserId title="区域1" rangeCreator="" othersAccessPermission="edit"/>
    <arrUserId title="区域1_11_1" rangeCreator="" othersAccessPermission="edit"/>
    <arrUserId title="区域1_2" rangeCreator="" othersAccessPermission="edit"/>
    <arrUserId title="区域1_3_2" rangeCreator="" othersAccessPermission="edit"/>
  </rangeList>
  <rangeList sheetStid="3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项目评估汇总（昆山90%）-一个配置</vt:lpstr>
      <vt:lpstr>客户报价逻辑</vt:lpstr>
      <vt:lpstr>运营工时费报价基准</vt:lpstr>
      <vt:lpstr>工厂效率</vt:lpstr>
      <vt:lpstr>设备投资明细</vt:lpstr>
      <vt:lpstr>项目专用模具</vt:lpstr>
      <vt:lpstr>项目工装投入 </vt:lpstr>
      <vt:lpstr>研发费用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财务部-秦转利</dc:creator>
  <cp:lastModifiedBy>veer</cp:lastModifiedBy>
  <dcterms:created xsi:type="dcterms:W3CDTF">2024-09-26T05:39:00Z</dcterms:created>
  <dcterms:modified xsi:type="dcterms:W3CDTF">2026-04-09T15:11:30Z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A3F31F8E2C604C2D843FE4912E671F39_13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