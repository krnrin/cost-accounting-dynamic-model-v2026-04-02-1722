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8567" tabRatio="735" firstSheet="1" activeTab="5"/>
  </bookViews>
  <sheets>
    <sheet name="项目汇总" sheetId="31" state="hidden" r:id="rId1"/>
    <sheet name="项目评估汇总（昆山90%）" sheetId="2" r:id="rId2"/>
    <sheet name="客户报价逻辑" sheetId="23" state="hidden" r:id="rId3"/>
    <sheet name="运营工时费报价基准" sheetId="45" state="hidden" r:id="rId4"/>
    <sheet name="工厂效率" sheetId="46" state="hidden" r:id="rId5"/>
    <sheet name="设备投资明细" sheetId="26" r:id="rId6"/>
    <sheet name="项目专用模具" sheetId="27" r:id="rId7"/>
    <sheet name="项目工装投入 " sheetId="28" r:id="rId8"/>
    <sheet name="研发费用 " sheetId="33" r:id="rId9"/>
    <sheet name="包装物流费用" sheetId="17" r:id="rId10"/>
    <sheet name="配置明细" sheetId="7" r:id="rId11"/>
    <sheet name="KSK线束BOM明细 " sheetId="47" r:id="rId12"/>
    <sheet name="二次物料明细" sheetId="49" r:id="rId13"/>
    <sheet name="总成散件清单" sheetId="48" r:id="rId14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5" hidden="1">设备投资明细!$A$3:$Q$29</definedName>
    <definedName name="_xlnm._FilterDatabase" localSheetId="7" hidden="1">'项目工装投入 '!$A$3:$M$16</definedName>
    <definedName name="_xlnm._FilterDatabase" localSheetId="10" hidden="1">配置明细!$B$2:$W$14</definedName>
    <definedName name="_xlnm._FilterDatabase" localSheetId="11" hidden="1">'KSK线束BOM明细 '!$A$1:$X$112</definedName>
    <definedName name="_xlnm._FilterDatabase" localSheetId="12" hidden="1">二次物料明细!$A$2:$Q$108</definedName>
    <definedName name="_xlnm._FilterDatabase" localSheetId="13" hidden="1">总成散件清单!$A$1:$R$57</definedName>
    <definedName name="__123Graph_A" localSheetId="4" hidden="1">'[1]PV6 3.5L LX5 GMX170'!#REF!</definedName>
    <definedName name="__123Graph_A" localSheetId="8" hidden="1">'[2]PV6 3.5L LX5 GMX170'!#REF!</definedName>
    <definedName name="__123Graph_A" localSheetId="3" hidden="1">'[1]PV6 3.5L LX5 GMX170'!#REF!</definedName>
    <definedName name="__123Graph_A" hidden="1">'[2]PV6 3.5L LX5 GMX170'!#REF!</definedName>
    <definedName name="_15__123Graph_FCHART_5" localSheetId="4" hidden="1">#REF!</definedName>
    <definedName name="_15__123Graph_FCHART_5" localSheetId="8" hidden="1">#REF!</definedName>
    <definedName name="_15__123Graph_FCHART_5" localSheetId="3" hidden="1">#REF!</definedName>
    <definedName name="_15__123Graph_FCHART_5" hidden="1">#REF!</definedName>
    <definedName name="a">[3]Terminal!$F$1:$F$3</definedName>
    <definedName name="countif" localSheetId="4">#REF!</definedName>
    <definedName name="countif" localSheetId="0">#REF!</definedName>
    <definedName name="countif" localSheetId="8">#REF!</definedName>
    <definedName name="countif" localSheetId="3">#REF!</definedName>
    <definedName name="countif">#REF!</definedName>
    <definedName name="D" localSheetId="4">#REF!</definedName>
    <definedName name="D" localSheetId="0">#REF!</definedName>
    <definedName name="D" localSheetId="8">#REF!</definedName>
    <definedName name="D" localSheetId="3">#REF!</definedName>
    <definedName name="D">#REF!</definedName>
    <definedName name="E" localSheetId="4">#REF!</definedName>
    <definedName name="E" localSheetId="3">#REF!</definedName>
    <definedName name="E">#REF!</definedName>
    <definedName name="Erstelldatum" localSheetId="4">#REF!</definedName>
    <definedName name="Erstelldatum" localSheetId="0">#REF!</definedName>
    <definedName name="Erstelldatum" localSheetId="8">#REF!</definedName>
    <definedName name="Erstelldatum" localSheetId="3">#REF!</definedName>
    <definedName name="Erstelldatum">#REF!</definedName>
    <definedName name="EXCEL_EXPORT1" localSheetId="4">#REF!</definedName>
    <definedName name="EXCEL_EXPORT1" localSheetId="3">#REF!</definedName>
    <definedName name="EXCEL_EXPORT1">#REF!</definedName>
    <definedName name="FZG_Beschriftung" localSheetId="0">#REF!</definedName>
    <definedName name="FZG_Beschriftung" localSheetId="8">#REF!</definedName>
    <definedName name="FZG_Beschriftung">#REF!</definedName>
    <definedName name="ISFOXAutomaticLabelingDisabled" hidden="1">TRUE</definedName>
    <definedName name="ISFOXClassificationHistory_0" hidden="1">"DOMFGDVB\CC02110294;d4c75f49-f1ee-485c-aa75-2c54e2ab5223;Internal;2019-07-18T13:37:04;;DRX|"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OldClassificationId" hidden="1">"d4c75f49-f1ee-485c-aa75-2c54e2ab5223"</definedName>
    <definedName name="ISFOXOldClassificationIdBackup" hidden="1">"d4c75f49-f1ee-485c-aa75-2c54e2ab5223"</definedName>
    <definedName name="ISFOXPrefix" hidden="1">"DRX"</definedName>
    <definedName name="ISFOXPreviousClassificationId" hidden="1">"d4c75f49-f1ee-485c-aa75-2c54e2ab5223"</definedName>
    <definedName name="ISFOXSaveAsProcess" hidden="1">TRUE</definedName>
    <definedName name="ISFOXShowClassificationRequestWindow" hidden="1">TRUE</definedName>
    <definedName name="ISFOXVersionHistoryCount" hidden="1">1</definedName>
    <definedName name="ISFOXVersioningChanged" hidden="1">FALSE</definedName>
    <definedName name="ISFOXWorkbookInitialized" hidden="1">FALSE</definedName>
    <definedName name="PA_Beschriftung" localSheetId="4">#REF!</definedName>
    <definedName name="PA_Beschriftung" localSheetId="3">#REF!</definedName>
    <definedName name="PA_Beschriftung">#REF!</definedName>
    <definedName name="Planungsstand" localSheetId="4">#REF!</definedName>
    <definedName name="Planungsstand" localSheetId="3">#REF!</definedName>
    <definedName name="Planungsstand">#REF!</definedName>
    <definedName name="Vergleichsplanung" localSheetId="4">#REF!</definedName>
    <definedName name="Vergleichsplanung" localSheetId="3">#REF!</definedName>
    <definedName name="Vergleichsplanung">#REF!</definedName>
    <definedName name="x" localSheetId="4">#REF!</definedName>
    <definedName name="x" localSheetId="3">#REF!</definedName>
    <definedName name="x">#REF!</definedName>
    <definedName name="Z" localSheetId="4">#REF!</definedName>
    <definedName name="Z" localSheetId="3">#REF!</definedName>
    <definedName name="Z">#REF!</definedName>
    <definedName name="公用设备大类" localSheetId="4">OFFSET([4]资源数据源!$S$1,1,0,COUNTA([4]资源数据源!$S:$S)-COUNTIF([4]资源数据源!$S:$S,0)-1,1)</definedName>
    <definedName name="公用设备大类" localSheetId="5">OFFSET([5]资源数据源!$S$1,1,0,COUNTA([5]资源数据源!$S:$S)-COUNTIF([5]资源数据源!$S:$S,0)-1,1)</definedName>
    <definedName name="公用设备大类" localSheetId="7">OFFSET([5]资源数据源!$S$1,1,0,COUNTA([5]资源数据源!$S:$S)-COUNTIF([5]资源数据源!$S:$S,0)-1,1)</definedName>
    <definedName name="公用设备大类" localSheetId="0">OFFSET([6]资源数据源!$Q$1,1,0,COUNTA([6]资源数据源!$Q:$Q)-COUNTIF([6]资源数据源!$Q:$Q,0)-1,1)</definedName>
    <definedName name="公用设备大类" localSheetId="6">OFFSET([5]资源数据源!$S$1,1,0,COUNTA([5]资源数据源!$S:$S)-COUNTIF([5]资源数据源!$S:$S,0)-1,1)</definedName>
    <definedName name="公用设备大类" localSheetId="3">OFFSET([4]资源数据源!$S$1,1,0,COUNTA([4]资源数据源!$S:$S)-COUNTIF([4]资源数据源!$S:$S,0)-1,1)</definedName>
    <definedName name="公用设备大类">OFFSET([7]资源数据源!$S$1,1,0,COUNTA([7]资源数据源!$S:$S)-COUNTIF([7]资源数据源!$S:$S,0)-1,1)</definedName>
    <definedName name="公用设备名称" localSheetId="4">OFFSET([4]资源数据源!$G$1,MATCH('[4]项目评估汇总-样表'!$C1,[4]资源数据源!$F:$F,0)-1,0,COUNTIF([4]资源数据源!$F:$F,'[4]项目评估汇总-样表'!$C1),1)</definedName>
    <definedName name="公用设备名称" localSheetId="5">OFFSET([5]资源数据源!$G$1,MATCH(设备投资明细!#REF!,[5]资源数据源!$F:$F,0)-1,0,COUNTIF([5]资源数据源!$F:$F,设备投资明细!#REF!),1)</definedName>
    <definedName name="公用设备名称" localSheetId="7">OFFSET([5]资源数据源!$G$1,MATCH([5]项目设备投入!$C1,[5]资源数据源!$F:$F,0)-1,0,COUNTIF([5]资源数据源!$F:$F,[5]项目设备投入!$C1),1)</definedName>
    <definedName name="公用设备名称" localSheetId="0">OFFSET([6]资源数据源!$G$1,MATCH('[8]项目设备投入 '!$C1,[6]资源数据源!$F:$F,0)-1,0,COUNTIF([6]资源数据源!$F:$F,'[8]项目设备投入 '!$C1),1)</definedName>
    <definedName name="公用设备名称" localSheetId="6">OFFSET([5]资源数据源!$G$1,MATCH([5]项目设备投入!$C1,[5]资源数据源!$F:$F,0)-1,0,COUNTIF([5]资源数据源!$F:$F,[5]项目设备投入!$C1),1)</definedName>
    <definedName name="公用设备名称" localSheetId="3">OFFSET([4]资源数据源!$G$1,MATCH('[4]项目评估汇总-样表'!$C1,[4]资源数据源!$F:$F,0)-1,0,COUNTIF([4]资源数据源!$F:$F,'[4]项目评估汇总-样表'!$C1),1)</definedName>
    <definedName name="公用设备名称">OFFSET([7]资源数据源!$G$1,MATCH('[7]项目评估汇总-样表'!$C1,[7]资源数据源!$F:$F,0)-1,0,COUNTIF([7]资源数据源!$F:$F,'[7]项目评估汇总-样表'!$C1),1)</definedName>
    <definedName name="项目评估" localSheetId="4">#REF!</definedName>
    <definedName name="项目评估" localSheetId="3">#REF!</definedName>
    <definedName name="项目评估">#REF!</definedName>
    <definedName name="专用工装设备大类" localSheetId="4">OFFSET([4]资源数据源!$W$1,1,0,COUNTA([4]资源数据源!$W:$W)-COUNTIF([4]资源数据源!$W:$W,0)-1,1)</definedName>
    <definedName name="专用工装设备大类" localSheetId="5">OFFSET([5]资源数据源!$W$1,1,0,COUNTA([5]资源数据源!$W:$W)-COUNTIF([5]资源数据源!$W:$W,0)-1,1)</definedName>
    <definedName name="专用工装设备大类" localSheetId="7">OFFSET([5]资源数据源!$W$1,1,0,COUNTA([5]资源数据源!$W:$W)-COUNTIF([5]资源数据源!$W:$W,0)-1,1)</definedName>
    <definedName name="专用工装设备大类" localSheetId="0">OFFSET([6]资源数据源!$U$1,1,0,COUNTA([6]资源数据源!$U:$U)-COUNTIF([6]资源数据源!$U:$U,0)-1,1)</definedName>
    <definedName name="专用工装设备大类" localSheetId="6">OFFSET([5]资源数据源!$W$1,1,0,COUNTA([5]资源数据源!$W:$W)-COUNTIF([5]资源数据源!$W:$W,0)-1,1)</definedName>
    <definedName name="专用工装设备大类" localSheetId="3">OFFSET([4]资源数据源!$W$1,1,0,COUNTA([4]资源数据源!$W:$W)-COUNTIF([4]资源数据源!$W:$W,0)-1,1)</definedName>
    <definedName name="专用工装设备大类">OFFSET([7]资源数据源!$W$1,1,0,COUNTA([7]资源数据源!$W:$W)-COUNTIF([7]资源数据源!$W:$W,0)-1,1)</definedName>
    <definedName name="专用工装设备名称" localSheetId="4">OFFSET([9]资源数据源!$G$1,MATCH(#REF!,[9]资源数据源!$F:$F,0)-1,0,COUNTIF([9]资源数据源!$F:$F,#REF!),1)</definedName>
    <definedName name="专用工装设备名称" localSheetId="5">OFFSET([5]资源数据源!$G$1,MATCH([5]项目工装投入!$C1,[5]资源数据源!$F:$F,0)-1,0,COUNTIF([5]资源数据源!$F:$F,[5]项目工装投入!$C1),1)</definedName>
    <definedName name="专用工装设备名称" localSheetId="7">OFFSET([5]资源数据源!$G$1,MATCH('项目工装投入 '!$C1,[5]资源数据源!$F:$F,0)-1,0,COUNTIF([5]资源数据源!$F:$F,'项目工装投入 '!$C1),1)</definedName>
    <definedName name="专用工装设备名称" localSheetId="0">OFFSET([6]资源数据源!$G$1,MATCH([6]项目工装投入!$C1,[6]资源数据源!$F:$F,0)-1,0,COUNTIF([6]资源数据源!$F:$F,[6]项目工装投入!$C1),1)</definedName>
    <definedName name="专用工装设备名称" localSheetId="6">OFFSET([5]资源数据源!$G$1,MATCH([5]项目工装投入!$C1,[5]资源数据源!$F:$F,0)-1,0,COUNTIF([5]资源数据源!$F:$F,[5]项目工装投入!$C1),1)</definedName>
    <definedName name="专用工装设备名称" localSheetId="8">OFFSET([10]资源数据源!$G$1,MATCH([11]项目工装投入!$C1,[10]资源数据源!$F:$F,0)-1,0,COUNTIF([10]资源数据源!$F:$F,[11]项目工装投入!$C1),1)</definedName>
    <definedName name="专用工装设备名称" localSheetId="3">OFFSET([9]资源数据源!$G$1,MATCH(#REF!,[9]资源数据源!$F:$F,0)-1,0,COUNTIF([9]资源数据源!$F:$F,#REF!),1)</definedName>
    <definedName name="专用工装设备名称">OFFSET([10]资源数据源!$G$1,MATCH(#REF!,[10]资源数据源!$F:$F,0)-1,0,COUNTIF([10]资源数据源!$F:$F,#REF!),1)</definedName>
    <definedName name="专用模具模块大类" localSheetId="4">OFFSET([9]资源数据源!$Y$1,1,0,COUNTA([9]资源数据源!$Y:$Y)-COUNTIF([9]资源数据源!$Y:$Y,0)-1,1)</definedName>
    <definedName name="专用模具模块大类" localSheetId="5">OFFSET([5]资源数据源!$Y$1,1,0,COUNTA([5]资源数据源!$Y:$Y)-COUNTIF([5]资源数据源!$Y:$Y,0)-1,1)</definedName>
    <definedName name="专用模具模块大类" localSheetId="7">OFFSET([5]资源数据源!$Y$1,1,0,COUNTA([5]资源数据源!$Y:$Y)-COUNTIF([5]资源数据源!$Y:$Y,0)-1,1)</definedName>
    <definedName name="专用模具模块大类" localSheetId="0">OFFSET([6]资源数据源!$W$1,1,0,COUNTA([6]资源数据源!$W:$W)-COUNTIF([6]资源数据源!$W:$W,0)-1,1)</definedName>
    <definedName name="专用模具模块大类" localSheetId="6">OFFSET([5]资源数据源!$Y$1,1,0,COUNTA([5]资源数据源!$Y:$Y)-COUNTIF([5]资源数据源!$Y:$Y,0)-1,1)</definedName>
    <definedName name="专用模具模块大类" localSheetId="3">OFFSET([9]资源数据源!$Y$1,1,0,COUNTA([9]资源数据源!$Y:$Y)-COUNTIF([9]资源数据源!$Y:$Y,0)-1,1)</definedName>
    <definedName name="专用模具模块大类">OFFSET([10]资源数据源!$Y$1,1,0,COUNTA([10]资源数据源!$Y:$Y)-COUNTIF([10]资源数据源!$Y:$Y,0)-1,1)</definedName>
    <definedName name="专用模具设备名称" localSheetId="0">OFFSET([6]资源数据源!$G$1,MATCH([6]项目专用模具!$C1,[6]资源数据源!$F:$F,0)-1,0,COUNTIF([6]资源数据源!$F:$F,[6]项目专用模具!$C1),1)</definedName>
    <definedName name="专用模具设备名称">OFFSET([5]资源数据源!$G$1,MATCH([5]项目专用模具!$C1,[5]资源数据源!$F:$F,0)-1,0,COUNTIF([5]资源数据源!$F:$F,[5]项目专用模具!$C1),1)</definedName>
    <definedName name="专用设备大类" localSheetId="4">OFFSET([4]资源数据源!$U$1,1,0,COUNTA([4]资源数据源!$U:$U)-COUNTIF([4]资源数据源!$U:$U,0)-1,1)</definedName>
    <definedName name="专用设备大类" localSheetId="5">OFFSET([5]资源数据源!$U$1,1,0,COUNTA([5]资源数据源!$U:$U)-COUNTIF([5]资源数据源!$U:$U,0)-1,1)</definedName>
    <definedName name="专用设备大类" localSheetId="7">OFFSET([5]资源数据源!$U$1,1,0,COUNTA([5]资源数据源!$U:$U)-COUNTIF([5]资源数据源!$U:$U,0)-1,1)</definedName>
    <definedName name="专用设备大类" localSheetId="0">OFFSET([6]资源数据源!$S$1,1,0,COUNTA([6]资源数据源!$S:$S)-COUNTIF([6]资源数据源!$S:$S,0)-1,1)</definedName>
    <definedName name="专用设备大类" localSheetId="6">OFFSET([5]资源数据源!$U$1,1,0,COUNTA([5]资源数据源!$U:$U)-COUNTIF([5]资源数据源!$U:$U,0)-1,1)</definedName>
    <definedName name="专用设备大类" localSheetId="3">OFFSET([4]资源数据源!$U$1,1,0,COUNTA([4]资源数据源!$U:$U)-COUNTIF([4]资源数据源!$U:$U,0)-1,1)</definedName>
    <definedName name="专用设备大类">OFFSET([7]资源数据源!$U$1,1,0,COUNTA([7]资源数据源!$U:$U)-COUNTIF([7]资源数据源!$U:$U,0)-1,1)</definedName>
    <definedName name="专用设备名称" localSheetId="4">OFFSET([4]资源数据源!$G$1,MATCH(#REF!,[4]资源数据源!$F:$F,0)-1,0,COUNTIF([4]资源数据源!$F:$F,#REF!),1)</definedName>
    <definedName name="专用设备名称" localSheetId="5">OFFSET([5]资源数据源!$G$1,MATCH(设备投资明细!#REF!,[5]资源数据源!$F:$F,0)-1,0,COUNTIF([5]资源数据源!$F:$F,设备投资明细!#REF!),1)</definedName>
    <definedName name="专用设备名称" localSheetId="7">OFFSET([5]资源数据源!$G$1,MATCH([5]项目设备投入!$C1,[5]资源数据源!$F:$F,0)-1,0,COUNTIF([5]资源数据源!$F:$F,[5]项目设备投入!$C1),1)</definedName>
    <definedName name="专用设备名称" localSheetId="0">OFFSET([6]资源数据源!$G$1,MATCH('[8]项目设备投入 '!$C1,[6]资源数据源!$F:$F,0)-1,0,COUNTIF([6]资源数据源!$F:$F,'[8]项目设备投入 '!$C1),1)</definedName>
    <definedName name="专用设备名称" localSheetId="6">OFFSET([5]资源数据源!$G$1,MATCH([5]项目设备投入!$C1,[5]资源数据源!$F:$F,0)-1,0,COUNTIF([5]资源数据源!$F:$F,[5]项目设备投入!$C1),1)</definedName>
    <definedName name="专用设备名称" localSheetId="8">OFFSET([7]资源数据源!$G$1,MATCH([11]设备投资明细!$C1,[7]资源数据源!$F:$F,0)-1,0,COUNTIF([7]资源数据源!$F:$F,[11]设备投资明细!$C1),1)</definedName>
    <definedName name="专用设备名称" localSheetId="3">OFFSET([4]资源数据源!$G$1,MATCH(#REF!,[4]资源数据源!$F:$F,0)-1,0,COUNTIF([4]资源数据源!$F:$F,#REF!),1)</definedName>
    <definedName name="专用设备名称">OFFSET([7]资源数据源!$G$1,MATCH(#REF!,[7]资源数据源!$F:$F,0)-1,0,COUNTIF([7]资源数据源!$F:$F,#REF!),1)</definedName>
    <definedName name="a" localSheetId="11">[2]Terminal!$F$1:$F$3</definedName>
    <definedName name="countif" localSheetId="11">#REF!</definedName>
    <definedName name="D" localSheetId="11">#REF!</definedName>
    <definedName name="公用设备大类" localSheetId="11">OFFSET(#REF!,1,0,COUNTA(#REF!)-COUNTIF(#REF!,0)-1,1)</definedName>
    <definedName name="公用设备名称" localSheetId="11">OFFSET(#REF!,MATCH(#REF!,#REF!,0)-1,0,COUNTIF(#REF!,#REF!),1)</definedName>
    <definedName name="专用工装设备大类" localSheetId="11">OFFSET(#REF!,1,0,COUNTA(#REF!)-COUNTIF(#REF!,0)-1,1)</definedName>
    <definedName name="专用工装设备名称" localSheetId="11">OFFSET(#REF!,MATCH(#REF!,#REF!,0)-1,0,COUNTIF(#REF!,#REF!),1)</definedName>
    <definedName name="专用模具模块大类" localSheetId="11">OFFSET(#REF!,1,0,COUNTA(#REF!)-COUNTIF(#REF!,0)-1,1)</definedName>
    <definedName name="专用模具设备名称" localSheetId="11">OFFSET(#REF!,MATCH(#REF!,#REF!,0)-1,0,COUNTIF(#REF!,#REF!),1)</definedName>
    <definedName name="专用设备大类" localSheetId="11">OFFSET(#REF!,1,0,COUNTA(#REF!)-COUNTIF(#REF!,0)-1,1)</definedName>
    <definedName name="专用设备名称" localSheetId="11">OFFSET(#REF!,MATCH(#REF!,#REF!,0)-1,0,COUNTIF(#REF!,#REF!),1)</definedName>
    <definedName name="a" localSheetId="13">[2]Terminal!$F$1:$F$3</definedName>
    <definedName name="countif" localSheetId="13">#REF!</definedName>
    <definedName name="D" localSheetId="13">#REF!</definedName>
    <definedName name="公用设备大类" localSheetId="13">OFFSET(#REF!,1,0,COUNTA(#REF!)-COUNTIF(#REF!,0)-1,1)</definedName>
    <definedName name="公用设备名称" localSheetId="13">OFFSET(#REF!,MATCH(#REF!,#REF!,0)-1,0,COUNTIF(#REF!,#REF!),1)</definedName>
    <definedName name="专用工装设备大类" localSheetId="13">OFFSET(#REF!,1,0,COUNTA(#REF!)-COUNTIF(#REF!,0)-1,1)</definedName>
    <definedName name="专用工装设备名称" localSheetId="13">OFFSET(#REF!,MATCH(#REF!,#REF!,0)-1,0,COUNTIF(#REF!,#REF!),1)</definedName>
    <definedName name="专用模具模块大类" localSheetId="13">OFFSET(#REF!,1,0,COUNTA(#REF!)-COUNTIF(#REF!,0)-1,1)</definedName>
    <definedName name="专用模具设备名称" localSheetId="13">OFFSET(#REF!,MATCH(#REF!,#REF!,0)-1,0,COUNTIF(#REF!,#REF!),1)</definedName>
    <definedName name="专用设备大类" localSheetId="13">OFFSET(#REF!,1,0,COUNTA(#REF!)-COUNTIF(#REF!,0)-1,1)</definedName>
    <definedName name="专用设备名称" localSheetId="13">OFFSET(#REF!,MATCH(#REF!,#REF!,0)-1,0,COUNTIF(#REF!,#REF!),1)</definedName>
    <definedName name="a" localSheetId="12">[2]Terminal!$F$1:$F$3</definedName>
    <definedName name="countif" localSheetId="12">#REF!</definedName>
    <definedName name="D" localSheetId="12">#REF!</definedName>
    <definedName name="公用设备大类" localSheetId="12">OFFSET(#REF!,1,0,COUNTA(#REF!)-COUNTIF(#REF!,0)-1,1)</definedName>
    <definedName name="公用设备名称" localSheetId="12">OFFSET(#REF!,MATCH(#REF!,#REF!,0)-1,0,COUNTIF(#REF!,#REF!),1)</definedName>
    <definedName name="专用工装设备大类" localSheetId="12">OFFSET(#REF!,1,0,COUNTA(#REF!)-COUNTIF(#REF!,0)-1,1)</definedName>
    <definedName name="专用工装设备名称" localSheetId="12">OFFSET(#REF!,MATCH(#REF!,#REF!,0)-1,0,COUNTIF(#REF!,#REF!),1)</definedName>
    <definedName name="专用模具模块大类" localSheetId="12">OFFSET(#REF!,1,0,COUNTA(#REF!)-COUNTIF(#REF!,0)-1,1)</definedName>
    <definedName name="专用模具设备名称" localSheetId="12">OFFSET(#REF!,MATCH(#REF!,#REF!,0)-1,0,COUNTIF(#REF!,#REF!),1)</definedName>
    <definedName name="专用设备大类" localSheetId="12">OFFSET(#REF!,1,0,COUNTA(#REF!)-COUNTIF(#REF!,0)-1,1)</definedName>
    <definedName name="专用设备名称" localSheetId="12">OFFSET(#REF!,MATCH(#REF!,#REF!,0)-1,0,COUNTIF(#REF!,#REF!),1)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NEC-PC-刘利杰</author>
  </authors>
  <commentList>
    <comment ref="O22" authorId="0">
      <text>
        <r>
          <rPr>
            <b/>
            <sz val="9"/>
            <rFont val="宋体"/>
            <charset val="134"/>
          </rPr>
          <t>电检台上与线束插件对插工装具备插拔次数监控功能，超过寿命自动报警。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  <comment ref="O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<sst xmlns="http://schemas.openxmlformats.org/spreadsheetml/2006/main" count="2734" uniqueCount="725">
  <si>
    <t>区分</t>
  </si>
  <si>
    <t>客户目标价格（工厂实际）</t>
  </si>
  <si>
    <t>第一轮报价</t>
  </si>
  <si>
    <t>备注</t>
  </si>
  <si>
    <t>金额</t>
  </si>
  <si>
    <t>收入比</t>
  </si>
  <si>
    <t>目标销售数量（PCS）</t>
  </si>
  <si>
    <t>核算分摊数量</t>
  </si>
  <si>
    <t>回路工时(s)</t>
  </si>
  <si>
    <t>回路数</t>
  </si>
  <si>
    <t>回路销售单价</t>
  </si>
  <si>
    <t>运营成本工时费（不包含折旧）</t>
  </si>
  <si>
    <t>运营成本直接人工费率</t>
  </si>
  <si>
    <t>目标销售单价（元）</t>
  </si>
  <si>
    <t>目标销售收入（元）</t>
  </si>
  <si>
    <t>目标利润额（元）</t>
  </si>
  <si>
    <t>目标实现利润点（%）</t>
  </si>
  <si>
    <t>返点金额（QS）（元）</t>
  </si>
  <si>
    <t>毛利（元）</t>
  </si>
  <si>
    <t>毛利（%）</t>
  </si>
  <si>
    <t>项目新增投资（元）</t>
  </si>
  <si>
    <t>-设备、模具、工装板类</t>
  </si>
  <si>
    <t>-辅助工具类</t>
  </si>
  <si>
    <t>本阶段已投资（元）</t>
  </si>
  <si>
    <t>剩余投资金额（元）</t>
  </si>
  <si>
    <t>单套项目总成本（元/PCS）</t>
  </si>
  <si>
    <t>单套材料成本（元/PCS）</t>
  </si>
  <si>
    <t>回路材料成本</t>
  </si>
  <si>
    <t>总工时（H)</t>
  </si>
  <si>
    <t>—前工程工时（H)</t>
  </si>
  <si>
    <t>—后工程工时（H)</t>
  </si>
  <si>
    <t>回路制造费用</t>
  </si>
  <si>
    <t>单套直接人工（元/PCS）</t>
  </si>
  <si>
    <t>单套制造费用（元/PCS）</t>
  </si>
  <si>
    <t>—间接人工</t>
  </si>
  <si>
    <t>—低值易耗品费</t>
  </si>
  <si>
    <t>—机物料消耗</t>
  </si>
  <si>
    <t>—厂房分摊</t>
  </si>
  <si>
    <t>—自动化仓、仓库分摊</t>
  </si>
  <si>
    <t>—其他制费</t>
  </si>
  <si>
    <t>单套期间费用成本（元/PCS）</t>
  </si>
  <si>
    <t>销售费用（元/PCS）</t>
  </si>
  <si>
    <t>管理费用（元/PCS）</t>
  </si>
  <si>
    <t>研发费用（元/PCS）</t>
  </si>
  <si>
    <t>财务费用（元/PCS）</t>
  </si>
  <si>
    <t>单套设备成本（元/PCS）</t>
  </si>
  <si>
    <t>—共用设备（元/PCS)</t>
  </si>
  <si>
    <t>—专用设备（元/PCS)</t>
  </si>
  <si>
    <t>单套包装、物流费用（元/PCS）</t>
  </si>
  <si>
    <t>吉利P162大电池包高压</t>
  </si>
  <si>
    <t>内    容</t>
  </si>
  <si>
    <t>产  品  周  期  汇  总</t>
  </si>
  <si>
    <t>备  注</t>
  </si>
  <si>
    <t>费率</t>
  </si>
  <si>
    <t>目标汇总值</t>
  </si>
  <si>
    <t>回路数（PCS）</t>
  </si>
  <si>
    <t>平均售价</t>
  </si>
  <si>
    <t>回路单价 （元）</t>
  </si>
  <si>
    <t>回路工时 （秒）</t>
  </si>
  <si>
    <t>BOM材料成本</t>
  </si>
  <si>
    <t>—前工程效率-开线</t>
  </si>
  <si>
    <t>工厂开线标准工时费</t>
  </si>
  <si>
    <t>工厂开线标准工时费*工时</t>
  </si>
  <si>
    <t>—前工程效率 - 公共制程</t>
  </si>
  <si>
    <t>工厂公共制程标准工时费</t>
  </si>
  <si>
    <t>工厂公共制程标准工时费*工时</t>
  </si>
  <si>
    <t xml:space="preserve">—后工程 - 总装 </t>
  </si>
  <si>
    <t>工厂总装标准工时费</t>
  </si>
  <si>
    <t>工厂总装标准工时费*工时</t>
  </si>
  <si>
    <t>年折旧*使用年限/产量</t>
  </si>
  <si>
    <t>总价值／产量</t>
  </si>
  <si>
    <t>制造费用(单套) D=①+②+③+④</t>
  </si>
  <si>
    <t>工厂费率</t>
  </si>
  <si>
    <t>工厂费率*工时</t>
  </si>
  <si>
    <t>—低值易耗品</t>
  </si>
  <si>
    <t>-材料损耗</t>
  </si>
  <si>
    <t>材料*0.5%</t>
  </si>
  <si>
    <t>投入费/产量</t>
  </si>
  <si>
    <t>解释：</t>
  </si>
  <si>
    <t>低值易耗品费：工装板、模块、辅助工具、物料盒等</t>
  </si>
  <si>
    <t>第一页</t>
  </si>
  <si>
    <t>机物料消耗：质量检验测试、开机测试</t>
  </si>
  <si>
    <t>其他制费：差旅费、水电费、劳保用品、备品备件等</t>
  </si>
  <si>
    <t>删除辅助工装类→和低值易耗品重复</t>
  </si>
  <si>
    <t>零件号</t>
  </si>
  <si>
    <t>零件名称</t>
  </si>
  <si>
    <t>用量</t>
  </si>
  <si>
    <t>铜重</t>
  </si>
  <si>
    <t>铝重</t>
  </si>
  <si>
    <t>材料成本
（元）</t>
  </si>
  <si>
    <t>废品率
（0.9%）</t>
  </si>
  <si>
    <t>实际工时</t>
  </si>
  <si>
    <t>直接人工
(35元/H)</t>
  </si>
  <si>
    <t>制造费
(47元/H)</t>
  </si>
  <si>
    <t>人工+制造费</t>
  </si>
  <si>
    <t>管理费
(6%)</t>
  </si>
  <si>
    <t>利润</t>
  </si>
  <si>
    <t>出厂价</t>
  </si>
  <si>
    <t>包装费</t>
  </si>
  <si>
    <t>运输费</t>
  </si>
  <si>
    <t>到厂价</t>
  </si>
  <si>
    <t>*零件名称</t>
  </si>
  <si>
    <t>*标配/选配</t>
  </si>
  <si>
    <t>装车比</t>
  </si>
  <si>
    <r>
      <rPr>
        <b/>
        <sz val="10"/>
        <color theme="1"/>
        <rFont val="微软雅黑"/>
        <charset val="134"/>
      </rPr>
      <t xml:space="preserve">1、运营工时费  </t>
    </r>
    <r>
      <rPr>
        <b/>
        <sz val="10"/>
        <color rgb="FF0033CC"/>
        <rFont val="微软雅黑"/>
        <charset val="134"/>
      </rPr>
      <t>25年1-6月 基准</t>
    </r>
  </si>
  <si>
    <t>区分   元/h</t>
  </si>
  <si>
    <t>K1K2工厂</t>
  </si>
  <si>
    <t>K3工厂</t>
  </si>
  <si>
    <t>宁波工厂</t>
  </si>
  <si>
    <t>仪征工厂</t>
  </si>
  <si>
    <t xml:space="preserve">重庆工厂
低压 </t>
  </si>
  <si>
    <t xml:space="preserve">重庆工厂
高压 </t>
  </si>
  <si>
    <t>天津工厂</t>
  </si>
  <si>
    <t>直接人工-出勤工时</t>
  </si>
  <si>
    <t>效率</t>
  </si>
  <si>
    <t>-前工程效率-开线 元/h</t>
  </si>
  <si>
    <t>-前工程效率 - 公共制程   元/h</t>
  </si>
  <si>
    <t>-后工程 - 总装   元/h</t>
  </si>
  <si>
    <t>制造费用</t>
  </si>
  <si>
    <t>16.14+损耗</t>
  </si>
  <si>
    <t>15.17+损耗</t>
  </si>
  <si>
    <t>20.32+损耗</t>
  </si>
  <si>
    <t>15.13+损耗</t>
  </si>
  <si>
    <t>15.81+损耗</t>
  </si>
  <si>
    <t>23.46+损耗</t>
  </si>
  <si>
    <t>16.22+损耗</t>
  </si>
  <si>
    <t>-间接人工   元/h</t>
  </si>
  <si>
    <t>9.45
（16.16）</t>
  </si>
  <si>
    <t>-低值易耗品费   元/h</t>
  </si>
  <si>
    <t>0.51
（0.23）</t>
  </si>
  <si>
    <t>-机物料消耗   元/h</t>
  </si>
  <si>
    <t>2.41
（0.11）</t>
  </si>
  <si>
    <t>-厂房分摊   元/h</t>
  </si>
  <si>
    <t>-自动化仓、仓库分摊   元/h</t>
  </si>
  <si>
    <t>-其他制费   元/h</t>
  </si>
  <si>
    <t>-材料损耗   材料*0.5%</t>
  </si>
  <si>
    <t>宁波工厂-间接人工 ：因产值低，按照昆山低压与仪征平均取数</t>
  </si>
  <si>
    <t>天津工厂-低值易耗+机物料消耗 ：项目前期使用昆山高压物料，按照昆山高压取数</t>
  </si>
  <si>
    <t>K1K2工厂-厂房、自动化仓库摊销：25年1-6月产能不足，数据参考25年下半年预算</t>
  </si>
  <si>
    <t>● 25年报价效率：昆山低压、宁波、仪征、天津、重庆低压</t>
  </si>
  <si>
    <t>总工时</t>
  </si>
  <si>
    <t>项目节拍 PCS/h</t>
  </si>
  <si>
    <t>描述</t>
  </si>
  <si>
    <t>≤5</t>
  </si>
  <si>
    <t>5~10</t>
  </si>
  <si>
    <t>10~20</t>
  </si>
  <si>
    <t>＞20</t>
  </si>
  <si>
    <t>≤4h</t>
  </si>
  <si>
    <t>单回路工时＞42S</t>
  </si>
  <si>
    <t>4h~20h</t>
  </si>
  <si>
    <t>＞20h</t>
  </si>
  <si>
    <t>单回路工时＜42S</t>
  </si>
  <si>
    <t>● 25年报价效率：昆山高压、天津高压、重庆高压</t>
  </si>
  <si>
    <r>
      <rPr>
        <b/>
        <sz val="13"/>
        <color rgb="FF000000"/>
        <rFont val="微软雅黑"/>
        <charset val="134"/>
      </rPr>
      <t>≤</t>
    </r>
    <r>
      <rPr>
        <b/>
        <sz val="13"/>
        <color rgb="FF08090C"/>
        <rFont val="微软雅黑"/>
        <charset val="134"/>
      </rPr>
      <t>10</t>
    </r>
  </si>
  <si>
    <t>&gt;20</t>
  </si>
  <si>
    <t>2025报价LE</t>
  </si>
  <si>
    <t>单班JPH效率</t>
  </si>
  <si>
    <t>一、公用设备投入（前工程）</t>
  </si>
  <si>
    <t>需求资产</t>
  </si>
  <si>
    <t>剩余资产</t>
  </si>
  <si>
    <t>新增资产</t>
  </si>
  <si>
    <t>单价
（标准件-财务；
非标件-申购部门）</t>
  </si>
  <si>
    <t>适用范围</t>
  </si>
  <si>
    <t>供应商</t>
  </si>
  <si>
    <t>编号</t>
  </si>
  <si>
    <t>归属</t>
  </si>
  <si>
    <t>项目投资名称</t>
  </si>
  <si>
    <t>设备名称</t>
  </si>
  <si>
    <t>工艺报价参考规格型号</t>
  </si>
  <si>
    <t>单位</t>
  </si>
  <si>
    <t>数量</t>
  </si>
  <si>
    <t>A0001</t>
  </si>
  <si>
    <t>公用设备类</t>
  </si>
  <si>
    <t>开线</t>
  </si>
  <si>
    <t>全自动开线机/Kappa350</t>
  </si>
  <si>
    <t>Kappa350</t>
  </si>
  <si>
    <t>台</t>
  </si>
  <si>
    <t>全自动开线压接机/Alpha550</t>
  </si>
  <si>
    <t>Alpha550</t>
  </si>
  <si>
    <t>压接</t>
  </si>
  <si>
    <t>大平方压接机/XYD-30T</t>
  </si>
  <si>
    <t>XYD-30T</t>
  </si>
  <si>
    <t>小平方压接机-变频/XYD-4T</t>
  </si>
  <si>
    <t>XYD-4T</t>
  </si>
  <si>
    <t>焊120铝（安奕吉 HVW-12/骄成 WL-B-AH9994-F）</t>
  </si>
  <si>
    <t>焊接</t>
  </si>
  <si>
    <t>焊接机/安奕吉 HVW-6</t>
  </si>
  <si>
    <t>安奕吉 HVW-6</t>
  </si>
  <si>
    <t>焊50铝（安奕吉 HVW-6/骄成 WD-AH9940-F）</t>
  </si>
  <si>
    <t>焊接机/骄成 WD-M9960-F 10KW</t>
  </si>
  <si>
    <t>骄成 WD-M9960-F 10KW</t>
  </si>
  <si>
    <t>焊4方/6方铝（安奕吉 HVW-4/ WS-PH9810-F）</t>
  </si>
  <si>
    <t>去绝缘皮</t>
  </si>
  <si>
    <t>切剥翻一体机/定制</t>
  </si>
  <si>
    <t>定制</t>
  </si>
  <si>
    <t>并线焊（安奕吉 AW-4/骄成 WE-AH9810-L）</t>
  </si>
  <si>
    <t>检测设备</t>
  </si>
  <si>
    <t>高压&amp;气密检测/STRONG TEST-HG01</t>
  </si>
  <si>
    <t>STRONG TEST-HG01</t>
  </si>
  <si>
    <t>低压电测台：小（10≤模块数≥2）/斜面-TS1700</t>
  </si>
  <si>
    <t>扭力台</t>
  </si>
  <si>
    <t>扭力站/ST-HG-SCR</t>
  </si>
  <si>
    <t>ST-HG-SCR</t>
  </si>
  <si>
    <t>焊接机/Schunk Minic 2 plus</t>
  </si>
  <si>
    <t>Schunk Minic 2 plus</t>
  </si>
  <si>
    <t>焊接机/骄成 WD-MP9900-F</t>
  </si>
  <si>
    <t>骄成 WD-MP9900-F</t>
  </si>
  <si>
    <t>合计</t>
  </si>
  <si>
    <t>单套费用</t>
  </si>
  <si>
    <t>二、专用设备投入（后工程）</t>
  </si>
  <si>
    <t>B0001</t>
  </si>
  <si>
    <t>专用设备</t>
  </si>
  <si>
    <t>高压气密测试模块</t>
  </si>
  <si>
    <t>高压测试模块/定制</t>
  </si>
  <si>
    <t>个</t>
  </si>
  <si>
    <t>充电座的需增加插拔次数监控功能</t>
  </si>
  <si>
    <t>卡钉台</t>
  </si>
  <si>
    <t>卡钉测试台/小（10≤模块数≥1）</t>
  </si>
  <si>
    <t>小（10≤模块数≥1）</t>
  </si>
  <si>
    <t>pc</t>
  </si>
  <si>
    <t>第二页</t>
  </si>
  <si>
    <t>总量纲</t>
  </si>
  <si>
    <t>填写说明：</t>
  </si>
  <si>
    <t>1. 涉及自动化产线投资金额，自动化产线-公用件占比全产线金额的80%；自动化产线-专用件占比全产线金额的20%；</t>
  </si>
  <si>
    <t>2. 涉及自动化产线需在备注列维护内容：a.公共部分占比自动化设备费用80%；
2、xx平参考设备尺寸：xxm*xxm*xxm；
3、涉及工序：开线，剥皮，去屏蔽层，预装；压接屏蔽环；压接端子；装塑壳；插位；</t>
  </si>
  <si>
    <t>3. 如果项目设备/项目专用模具/项目工装投入表格中涉及新增内容在下拉箭头中无法选中，通知设备工程师至W:\昆山泽轩\动能工业中心\前期工艺部\04-前期设备中“泽轩设备数据库信息”中添加新增设备信息；</t>
  </si>
  <si>
    <t>专用模具投入</t>
  </si>
  <si>
    <t>需求模具（元）</t>
  </si>
  <si>
    <t>沿用模具（元）</t>
  </si>
  <si>
    <t>新增模具（元）</t>
  </si>
  <si>
    <t>备   注</t>
  </si>
  <si>
    <t>单价</t>
  </si>
  <si>
    <t>名称</t>
  </si>
  <si>
    <t>型号</t>
  </si>
  <si>
    <t>需求数量</t>
  </si>
  <si>
    <t>需求金额</t>
  </si>
  <si>
    <t>沿用数量</t>
  </si>
  <si>
    <t>沿用金额</t>
  </si>
  <si>
    <t>新增数量</t>
  </si>
  <si>
    <t>新增金额</t>
  </si>
  <si>
    <t>设备按生命周期量核算模具的数量(低压模具20万次；高压模具5万次；防水栓模具无限制生命周期)</t>
  </si>
  <si>
    <t>C0001</t>
  </si>
  <si>
    <t>模具类</t>
  </si>
  <si>
    <t>模具/模块/治具</t>
  </si>
  <si>
    <t>焊接治具/焊接治具</t>
  </si>
  <si>
    <t>焊接治具</t>
  </si>
  <si>
    <t>压接模具/小模具（40行程）</t>
  </si>
  <si>
    <t>防水栓模具</t>
  </si>
  <si>
    <t>压接模具/大模具（50行程）</t>
  </si>
  <si>
    <t>第三页</t>
  </si>
  <si>
    <t>说明：模具，夹具，模块</t>
  </si>
  <si>
    <t>新增工装投入</t>
  </si>
  <si>
    <t>需求工装（元）</t>
  </si>
  <si>
    <t>沿用工装（元）</t>
  </si>
  <si>
    <t>新增工装（元）</t>
  </si>
  <si>
    <t>规格型号</t>
  </si>
  <si>
    <t>预估/实际数量</t>
  </si>
  <si>
    <t>预估/实际金额</t>
  </si>
  <si>
    <t>D0001</t>
  </si>
  <si>
    <t>工装类</t>
  </si>
  <si>
    <t>电脑</t>
  </si>
  <si>
    <t>电脑/一体机</t>
  </si>
  <si>
    <t>一体机</t>
  </si>
  <si>
    <t>辅助工装</t>
  </si>
  <si>
    <t>气动辅助工装/定制</t>
  </si>
  <si>
    <t>插位回拉工装/定制</t>
  </si>
  <si>
    <t>QDKZQ</t>
  </si>
  <si>
    <t>插位诱导工装/定制</t>
  </si>
  <si>
    <t>插拔力测试工装/定制</t>
  </si>
  <si>
    <t>焊接机侧推工装/定制</t>
  </si>
  <si>
    <t>扭力检测仪</t>
  </si>
  <si>
    <t>扭力检测仪/-</t>
  </si>
  <si>
    <t>橡胶件气动扩张钳/QDKZQ</t>
  </si>
  <si>
    <t>单套成本</t>
  </si>
  <si>
    <t>第四页</t>
  </si>
  <si>
    <t>金额单位：元</t>
  </si>
  <si>
    <t>研发费用成本（不包含收费样线）</t>
  </si>
  <si>
    <t>E0001</t>
  </si>
  <si>
    <t>研发费用类</t>
  </si>
  <si>
    <t>原 材 料</t>
  </si>
  <si>
    <t>E0002</t>
  </si>
  <si>
    <t>手工样线</t>
  </si>
  <si>
    <t>E0003</t>
  </si>
  <si>
    <t>试验样线/样品费用</t>
  </si>
  <si>
    <t>E0004</t>
  </si>
  <si>
    <t>工    资</t>
  </si>
  <si>
    <t>E0005</t>
  </si>
  <si>
    <t>差 旅 费</t>
  </si>
  <si>
    <t>E0006</t>
  </si>
  <si>
    <t>交 际 费</t>
  </si>
  <si>
    <t>E0007</t>
  </si>
  <si>
    <t>常规DVP测试</t>
  </si>
  <si>
    <t>E0008</t>
  </si>
  <si>
    <t>实验费</t>
  </si>
  <si>
    <t>E0009</t>
  </si>
  <si>
    <t>资讯设备费</t>
  </si>
  <si>
    <t>E0010</t>
  </si>
  <si>
    <t>空运费</t>
  </si>
  <si>
    <t>E0011</t>
  </si>
  <si>
    <t>气味实验</t>
  </si>
  <si>
    <t>管理费用</t>
  </si>
  <si>
    <t>28,170元,费用总金额*5%</t>
  </si>
  <si>
    <t>E0012</t>
  </si>
  <si>
    <t>专利费</t>
  </si>
  <si>
    <t>E0013</t>
  </si>
  <si>
    <t>场地租赁</t>
  </si>
  <si>
    <t>第五页</t>
  </si>
  <si>
    <r>
      <rPr>
        <b/>
        <u/>
        <sz val="12"/>
        <color theme="1"/>
        <rFont val="微软雅黑"/>
        <charset val="134"/>
      </rPr>
      <t>包装物流成本</t>
    </r>
    <r>
      <rPr>
        <b/>
        <sz val="12"/>
        <color theme="1"/>
        <rFont val="微软雅黑"/>
        <charset val="134"/>
      </rPr>
      <t>明细</t>
    </r>
  </si>
  <si>
    <t>客户零件号</t>
  </si>
  <si>
    <t>SAP号</t>
  </si>
  <si>
    <t>物料描述</t>
  </si>
  <si>
    <t>内包装</t>
  </si>
  <si>
    <t>外包装</t>
  </si>
  <si>
    <t>运费</t>
  </si>
  <si>
    <t>服务费</t>
  </si>
  <si>
    <t>短驳（合肥仓库到客户）+其他</t>
  </si>
  <si>
    <t>三方仓费用</t>
  </si>
  <si>
    <t>围板箱折叠费</t>
  </si>
  <si>
    <t>第六页</t>
  </si>
  <si>
    <t>序号</t>
  </si>
  <si>
    <t>零件号SAP号</t>
  </si>
  <si>
    <t>材料成本（元）</t>
  </si>
  <si>
    <t>VAVE后材料成本</t>
  </si>
  <si>
    <t>线束铜重（KG）</t>
  </si>
  <si>
    <t>线束铝重（KG）</t>
  </si>
  <si>
    <t>导线成本
（元）</t>
  </si>
  <si>
    <t>开线工时（H）</t>
  </si>
  <si>
    <t>公共制成工时（H）</t>
  </si>
  <si>
    <t>后工程工时（H）</t>
  </si>
  <si>
    <t>JPH</t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</si>
  <si>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</si>
  <si>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</si>
  <si>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</si>
  <si>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</si>
  <si>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t>项目前工程占用面积（㎡）</t>
  </si>
  <si>
    <t>项目后工程占用面积（㎡）</t>
  </si>
  <si>
    <t>占地面积/㎡</t>
  </si>
  <si>
    <t>组合式充电插座线束总成</t>
  </si>
  <si>
    <t>PC</t>
  </si>
  <si>
    <t>充电线束总成</t>
  </si>
  <si>
    <t>铜价</t>
  </si>
  <si>
    <t>材料中铜成本</t>
  </si>
  <si>
    <t>材料中铝成本</t>
  </si>
  <si>
    <t>第七页</t>
  </si>
  <si>
    <t>线束零件号</t>
  </si>
  <si>
    <t>物料名称/零件名称</t>
  </si>
  <si>
    <t>是否半成品</t>
  </si>
  <si>
    <t>物料型号/SAP</t>
  </si>
  <si>
    <t>回路</t>
  </si>
  <si>
    <t>总成件号</t>
  </si>
  <si>
    <t>其他备注</t>
  </si>
  <si>
    <t>责任人</t>
  </si>
  <si>
    <t>非铜</t>
  </si>
  <si>
    <t>导线单价</t>
  </si>
  <si>
    <t>材料成本</t>
  </si>
  <si>
    <t>币别</t>
  </si>
  <si>
    <t>价格类型</t>
  </si>
  <si>
    <t>PP3241918</t>
  </si>
  <si>
    <t>法兰组件</t>
  </si>
  <si>
    <t>N</t>
  </si>
  <si>
    <t>PCS</t>
  </si>
  <si>
    <t>天海</t>
  </si>
  <si>
    <t>TC-GADC-125A1000V32A250V-0 10Y1
充电座</t>
  </si>
  <si>
    <t>客户指定</t>
  </si>
  <si>
    <t>PP3241190</t>
  </si>
  <si>
    <t>防尘盖组件</t>
  </si>
  <si>
    <t>A02102700</t>
  </si>
  <si>
    <t>PP3241410</t>
  </si>
  <si>
    <t>70平DC端子</t>
  </si>
  <si>
    <t>A03103099</t>
  </si>
  <si>
    <t>PP3241183</t>
  </si>
  <si>
    <t>50平DC尾盖</t>
  </si>
  <si>
    <t>A02104381</t>
  </si>
  <si>
    <t>PP3241184</t>
  </si>
  <si>
    <t>50平DC线塞</t>
  </si>
  <si>
    <t>A02104379</t>
  </si>
  <si>
    <t>PP3241319</t>
  </si>
  <si>
    <t>PE端子</t>
  </si>
  <si>
    <t>A03101934</t>
  </si>
  <si>
    <t>PP3241115</t>
  </si>
  <si>
    <t>PE胶圈</t>
  </si>
  <si>
    <t>A02102631</t>
  </si>
  <si>
    <t>PP3241195</t>
  </si>
  <si>
    <t>6平PE尾盖</t>
  </si>
  <si>
    <t>A02102630</t>
  </si>
  <si>
    <t>PP3241196</t>
  </si>
  <si>
    <t>6平PE线塞</t>
  </si>
  <si>
    <t>A02102629</t>
  </si>
  <si>
    <t>PP3241175</t>
  </si>
  <si>
    <t>5平AC线塞</t>
  </si>
  <si>
    <t>A02104380</t>
  </si>
  <si>
    <t>PP3241174</t>
  </si>
  <si>
    <t>5平AC小尾盖</t>
  </si>
  <si>
    <t>A02104378</t>
  </si>
  <si>
    <t>PP3241321</t>
  </si>
  <si>
    <t>6平功率插孔</t>
  </si>
  <si>
    <t>A03101936</t>
  </si>
  <si>
    <t>PP3241117</t>
  </si>
  <si>
    <t>6mm功率胶圈</t>
  </si>
  <si>
    <t>A02102708</t>
  </si>
  <si>
    <t>M21009005</t>
  </si>
  <si>
    <t>P161电子锁</t>
  </si>
  <si>
    <t>M93000476</t>
  </si>
  <si>
    <t>ST2.9*16</t>
  </si>
  <si>
    <t>A07100113</t>
  </si>
  <si>
    <t>HVPC2P1600FE6-NH-MP010</t>
  </si>
  <si>
    <t>护套塑壳</t>
  </si>
  <si>
    <t>A02104377</t>
  </si>
  <si>
    <t>安费诺</t>
  </si>
  <si>
    <t>HVSPC2P1600FE650-NH-P010
50mm²单芯非屏蔽硅胶铝导线
直流接ODP端</t>
  </si>
  <si>
    <t>HVPC2P1600FE-05P010</t>
  </si>
  <si>
    <t>焊接端子</t>
  </si>
  <si>
    <t>A03103097</t>
  </si>
  <si>
    <t>HVPC2P1600FV-15P010</t>
  </si>
  <si>
    <t>挡板</t>
  </si>
  <si>
    <t>A02104375</t>
  </si>
  <si>
    <t>HVSPC2P1600FV-12-50P010</t>
  </si>
  <si>
    <t>插头线束密封圈</t>
  </si>
  <si>
    <t>A02104376</t>
  </si>
  <si>
    <t>HVSPC2P1600FV-11-50P010</t>
  </si>
  <si>
    <t>插头线卡</t>
  </si>
  <si>
    <t>A02104374</t>
  </si>
  <si>
    <t>HVSPC2P1600FV-10-50P010</t>
  </si>
  <si>
    <t>插头尾盖</t>
  </si>
  <si>
    <t>A02104373</t>
  </si>
  <si>
    <t>HVC2PG263UFSW106-NH-P010</t>
  </si>
  <si>
    <t>高压线束总成</t>
  </si>
  <si>
    <t>SET</t>
  </si>
  <si>
    <t>HVC2PG263UFSW106-NH-P010
6mm²高压非屏蔽交联铝线
交流接ODP端</t>
  </si>
  <si>
    <t>5-2385463-1</t>
  </si>
  <si>
    <t>A02101947</t>
  </si>
  <si>
    <t>TE</t>
  </si>
  <si>
    <t>5-2385463-1
0.5mm²低压线
接整车低压线束</t>
  </si>
  <si>
    <t>2377023-2</t>
  </si>
  <si>
    <t>压接端子</t>
  </si>
  <si>
    <t>A03033091</t>
  </si>
  <si>
    <t>2377665-4</t>
  </si>
  <si>
    <t>密封塞</t>
  </si>
  <si>
    <t>A03033097</t>
  </si>
  <si>
    <t>2377665-3</t>
  </si>
  <si>
    <t>小盲堵</t>
  </si>
  <si>
    <t>A02034386</t>
  </si>
  <si>
    <t>963143-1</t>
  </si>
  <si>
    <t>大盲堵（1、8、15、22）</t>
  </si>
  <si>
    <t>A02031363</t>
  </si>
  <si>
    <t>BH4311701</t>
  </si>
  <si>
    <t>卡花</t>
  </si>
  <si>
    <t>A06004040</t>
  </si>
  <si>
    <t>博昊</t>
  </si>
  <si>
    <t>★</t>
  </si>
  <si>
    <t>PP6509712</t>
  </si>
  <si>
    <t>护套</t>
  </si>
  <si>
    <t>A02102696</t>
  </si>
  <si>
    <t>DMS120LL-10P-10TA
0.5mm²低压线
接直流充电座</t>
  </si>
  <si>
    <t>PP0147015</t>
  </si>
  <si>
    <t>端子</t>
  </si>
  <si>
    <t>A03101977</t>
  </si>
  <si>
    <t>PP1509507</t>
  </si>
  <si>
    <t>密封堵</t>
  </si>
  <si>
    <t>A03031595</t>
  </si>
  <si>
    <t>PP1509508</t>
  </si>
  <si>
    <t>A02031968</t>
  </si>
  <si>
    <t>PP6507901</t>
  </si>
  <si>
    <t>A02102644</t>
  </si>
  <si>
    <t>DMS120LL-6P-6TA
0.5mm²低压线
接交流充电座</t>
  </si>
  <si>
    <t>7-1452668-1</t>
  </si>
  <si>
    <t>A03011111</t>
  </si>
  <si>
    <t>1-1456426-1</t>
  </si>
  <si>
    <t>A02104435</t>
  </si>
  <si>
    <t>1-1456426-1
0.5mm²低压线
接电子锁组件</t>
  </si>
  <si>
    <t>1670146-1</t>
  </si>
  <si>
    <t>A03000092</t>
  </si>
  <si>
    <t>967067-1</t>
  </si>
  <si>
    <t>A03011405</t>
  </si>
  <si>
    <t>967056-1</t>
  </si>
  <si>
    <t>盲堵</t>
  </si>
  <si>
    <t>A02012110</t>
  </si>
  <si>
    <t>K03005541</t>
  </si>
  <si>
    <t>DC端PE端子</t>
  </si>
  <si>
    <t>A03101932</t>
  </si>
  <si>
    <t>丰迪</t>
  </si>
  <si>
    <t>K03005541
DC端PE端子
6mm²单芯非屏蔽交联铜导线</t>
  </si>
  <si>
    <t>RSD2L0428</t>
  </si>
  <si>
    <t>AC端PE端子</t>
  </si>
  <si>
    <t>A03103098</t>
  </si>
  <si>
    <t>荣盛达</t>
  </si>
  <si>
    <t>RSD2L0428
AC端PE端子
5mm²单芯非屏蔽交联铜导线</t>
  </si>
  <si>
    <t>接地热缩管</t>
  </si>
  <si>
    <t>A04030885</t>
  </si>
  <si>
    <t>深圳宏商/长春海达</t>
  </si>
  <si>
    <t>6430060CLE1L30</t>
  </si>
  <si>
    <t>线线焊接热缩管</t>
  </si>
  <si>
    <t>A04010425</t>
  </si>
  <si>
    <t>FHLAL2G/50.0/橙</t>
  </si>
  <si>
    <t>50mm²单芯非屏蔽硅胶铝导线</t>
  </si>
  <si>
    <t>A01102138</t>
  </si>
  <si>
    <t>M</t>
  </si>
  <si>
    <t>太平洋/鑫宏业/斯普乐</t>
  </si>
  <si>
    <t>FHLAL91X/6.0/橙/AL8</t>
  </si>
  <si>
    <t>6mm²单芯非屏蔽交联铝导线</t>
  </si>
  <si>
    <t>A01103404</t>
  </si>
  <si>
    <t>鑫宏业/斯普乐</t>
  </si>
  <si>
    <t>FHL91X/6.0/黄绿</t>
  </si>
  <si>
    <t>6mm²单芯铜导线</t>
  </si>
  <si>
    <t>A01101944</t>
  </si>
  <si>
    <t>FHL91X/5.0/黄绿</t>
  </si>
  <si>
    <t>5mm²单芯铜导线</t>
  </si>
  <si>
    <t>A01103405</t>
  </si>
  <si>
    <t>FLRY-B/0.5/绿</t>
  </si>
  <si>
    <t>低压导线</t>
  </si>
  <si>
    <t>A01011784</t>
  </si>
  <si>
    <t>FORCE</t>
  </si>
  <si>
    <t>FLRY-B/0.5/棕</t>
  </si>
  <si>
    <t>A01011832</t>
  </si>
  <si>
    <t>FLRY-B/0.5/橙兰</t>
  </si>
  <si>
    <t>A01000343</t>
  </si>
  <si>
    <t>FLRY-B/0.5/白</t>
  </si>
  <si>
    <t>A01011749</t>
  </si>
  <si>
    <t>FLRY-B/0.5/白黄</t>
  </si>
  <si>
    <t>A01011750</t>
  </si>
  <si>
    <t>FLRY-B/0.5/白绿</t>
  </si>
  <si>
    <t>A01011751</t>
  </si>
  <si>
    <t>FLRY-B/0.5/橙棕</t>
  </si>
  <si>
    <t xml:space="preserve"> A01011767</t>
  </si>
  <si>
    <t>FLRY-B/0.5/红</t>
  </si>
  <si>
    <t>A01011755</t>
  </si>
  <si>
    <t>FLRY-B/0.5/兰白</t>
  </si>
  <si>
    <t xml:space="preserve"> A01011803</t>
  </si>
  <si>
    <t>FLRY-B/0.5/黄白</t>
  </si>
  <si>
    <t>A01011769</t>
  </si>
  <si>
    <t>FLRY-B/0.5/黄黑</t>
  </si>
  <si>
    <t>A01011774</t>
  </si>
  <si>
    <t>FLRY-B/0.5/红黄</t>
  </si>
  <si>
    <t>A01011757</t>
  </si>
  <si>
    <t>FLRY-B/0.5/红橙</t>
  </si>
  <si>
    <t>A01011756</t>
  </si>
  <si>
    <t>FLRY-B/0.5/绿白</t>
  </si>
  <si>
    <t>A01011780</t>
  </si>
  <si>
    <t>FLRY-B/0.5/兰黄</t>
  </si>
  <si>
    <t>A01011805</t>
  </si>
  <si>
    <t>FLRY-B/0.5/兰灰</t>
  </si>
  <si>
    <t>A01011812</t>
  </si>
  <si>
    <t>FLRY-B/0.5/绿黑</t>
  </si>
  <si>
    <t>A01011786</t>
  </si>
  <si>
    <t>LG3305D014B</t>
  </si>
  <si>
    <t>PP14橙色波纹管</t>
  </si>
  <si>
    <t>A04100965</t>
  </si>
  <si>
    <t>骏鼎达/诗兰姆</t>
  </si>
  <si>
    <t>MX-PC-OR-013</t>
  </si>
  <si>
    <t xml:space="preserve"> 13开口式-套管</t>
  </si>
  <si>
    <t>A04101346</t>
  </si>
  <si>
    <t>骏鼎达/明鑫</t>
  </si>
  <si>
    <t>LG3305D012B</t>
  </si>
  <si>
    <t>PP12橙色波纹管</t>
  </si>
  <si>
    <t>A04101161</t>
  </si>
  <si>
    <t>P111W0192510003</t>
  </si>
  <si>
    <t>PVC胶带</t>
  </si>
  <si>
    <t>A04101791</t>
  </si>
  <si>
    <t>亚化</t>
  </si>
  <si>
    <t>LY5016019-OR2</t>
  </si>
  <si>
    <t>橙色布基胶带</t>
  </si>
  <si>
    <t>A04101159</t>
  </si>
  <si>
    <t>联益</t>
  </si>
  <si>
    <t>LY5016019</t>
  </si>
  <si>
    <t>黑色布基胶带</t>
  </si>
  <si>
    <t>A04030943</t>
  </si>
  <si>
    <t>SS21-HB-02</t>
  </si>
  <si>
    <t>护线槽</t>
  </si>
  <si>
    <t xml:space="preserve"> A06101093</t>
  </si>
  <si>
    <t>华凯</t>
  </si>
  <si>
    <t>沿用</t>
  </si>
  <si>
    <t>SS21-ZJ-06</t>
  </si>
  <si>
    <t>金属支架</t>
  </si>
  <si>
    <t xml:space="preserve"> A06101085</t>
  </si>
  <si>
    <t>贵龙</t>
  </si>
  <si>
    <t>SS21-ZJ-07</t>
  </si>
  <si>
    <t>A06101073</t>
  </si>
  <si>
    <t>P162-ZJ-01</t>
  </si>
  <si>
    <t>恒伟林/贵龙/华凯</t>
  </si>
  <si>
    <t>P162-KK-01</t>
  </si>
  <si>
    <t>管夹</t>
  </si>
  <si>
    <t>博昊/天久/华凯</t>
  </si>
  <si>
    <t>X1-XJ-08</t>
  </si>
  <si>
    <t>橡胶件</t>
  </si>
  <si>
    <t xml:space="preserve"> A04032754</t>
  </si>
  <si>
    <t>深州亚东</t>
  </si>
  <si>
    <t>MS11-XJ-05</t>
  </si>
  <si>
    <t>A04032520</t>
  </si>
  <si>
    <t>金坛博盟</t>
  </si>
  <si>
    <t>PP9123601</t>
  </si>
  <si>
    <t>φ6.5卡扣</t>
  </si>
  <si>
    <t>A06004936</t>
  </si>
  <si>
    <t>海尔曼太通/上海众安</t>
  </si>
  <si>
    <t>157-00127</t>
  </si>
  <si>
    <t>A06010538</t>
  </si>
  <si>
    <t>126-00207</t>
  </si>
  <si>
    <t>7*12箭头扎带</t>
  </si>
  <si>
    <t>A06000006</t>
  </si>
  <si>
    <t>156-01650</t>
  </si>
  <si>
    <t>双绳M5扎带</t>
  </si>
  <si>
    <t>A06004019</t>
  </si>
  <si>
    <t>PP9127401</t>
  </si>
  <si>
    <t>隔线扎带绳</t>
  </si>
  <si>
    <t>A06101064</t>
  </si>
  <si>
    <t>PP9121001</t>
  </si>
  <si>
    <t>水管卡</t>
  </si>
  <si>
    <t>A06004889</t>
  </si>
  <si>
    <t>111-00563</t>
  </si>
  <si>
    <t>扎带绳</t>
  </si>
  <si>
    <t>A06010012</t>
  </si>
  <si>
    <t>111-00580</t>
  </si>
  <si>
    <t>A06000221</t>
  </si>
  <si>
    <t>M01-032</t>
  </si>
  <si>
    <t>产品标签</t>
  </si>
  <si>
    <t>金满地</t>
  </si>
  <si>
    <t>HVPC2P1600FE5-NH-M</t>
  </si>
  <si>
    <t>A02104370</t>
  </si>
  <si>
    <t>HVPC2P1600FE550-NH-P010
50mm²单芯屏蔽硅胶铝导线
接ODP端</t>
  </si>
  <si>
    <t>HVPC2P1600FV-15</t>
  </si>
  <si>
    <t>A02103577</t>
  </si>
  <si>
    <t>HVPC2P1600FV-06-50</t>
  </si>
  <si>
    <t>外屏蔽环</t>
  </si>
  <si>
    <t>A03102581</t>
  </si>
  <si>
    <t>HVPC2P1800FS-11-50</t>
  </si>
  <si>
    <t>内屏蔽环</t>
  </si>
  <si>
    <t>A03102580</t>
  </si>
  <si>
    <t>HVPC2P1600FV-12-50</t>
  </si>
  <si>
    <t>密封圈</t>
  </si>
  <si>
    <t>A02104371</t>
  </si>
  <si>
    <t>HVPC2P1600FV-11-50</t>
  </si>
  <si>
    <t>线夹</t>
  </si>
  <si>
    <t>A02103573</t>
  </si>
  <si>
    <t>HVPC2P1600FV-10-50</t>
  </si>
  <si>
    <t>尾盖</t>
  </si>
  <si>
    <t>A02104369</t>
  </si>
  <si>
    <t>PP3219916</t>
  </si>
  <si>
    <t>二线线端护套总成</t>
  </si>
  <si>
    <t>A02104388</t>
  </si>
  <si>
    <t>TP180F-2P1A50-V-JL
50mm²单芯屏蔽硅胶铝导线
接电池包端</t>
  </si>
  <si>
    <t>PP3220006</t>
  </si>
  <si>
    <t>插针端子</t>
  </si>
  <si>
    <t>A03103102</t>
  </si>
  <si>
    <t>PP3220009</t>
  </si>
  <si>
    <t>屏蔽层III</t>
  </si>
  <si>
    <t>A03103108</t>
  </si>
  <si>
    <t>PP3220013</t>
  </si>
  <si>
    <t>金属箍</t>
  </si>
  <si>
    <t>A03103109</t>
  </si>
  <si>
    <t>PP3220017</t>
  </si>
  <si>
    <t>外金属箍</t>
  </si>
  <si>
    <t>A03103107</t>
  </si>
  <si>
    <t>PP3220021</t>
  </si>
  <si>
    <t>A02104394</t>
  </si>
  <si>
    <t>PP3220029</t>
  </si>
  <si>
    <t>尾卡</t>
  </si>
  <si>
    <t>A02104396</t>
  </si>
  <si>
    <t>PP3220025</t>
  </si>
  <si>
    <t>固线夹</t>
  </si>
  <si>
    <t>A02104395</t>
  </si>
  <si>
    <t>PP3220005</t>
  </si>
  <si>
    <t>内芯护套总成</t>
  </si>
  <si>
    <t>A02104383</t>
  </si>
  <si>
    <t>PP3220031</t>
  </si>
  <si>
    <t>垫块</t>
  </si>
  <si>
    <t>A02104384</t>
  </si>
  <si>
    <t>FHLALR2GCCAATB2G/50.0/橙</t>
  </si>
  <si>
    <t>50mm²单芯导体铝屏蔽铜包铝导线</t>
  </si>
  <si>
    <t>/</t>
  </si>
  <si>
    <t>太平洋/鑫宏业</t>
  </si>
  <si>
    <t>LG3305D017B</t>
  </si>
  <si>
    <t>PP17波纹管</t>
  </si>
  <si>
    <t>A04102069</t>
  </si>
  <si>
    <t>SS21-ZJ-10</t>
  </si>
  <si>
    <t>A06101083</t>
  </si>
  <si>
    <t>157-00253</t>
  </si>
  <si>
    <t>7*12杉树扎带</t>
  </si>
  <si>
    <t>A06003471</t>
  </si>
  <si>
    <t>若有其他方案推荐,经评估可行后可更新至K列</t>
  </si>
  <si>
    <t>组件描述</t>
  </si>
  <si>
    <t>物料名称（英文/中文）</t>
  </si>
  <si>
    <t>供应商名称</t>
  </si>
  <si>
    <t>VAVE供应商</t>
  </si>
  <si>
    <t>VAVE型号</t>
  </si>
  <si>
    <t>VAVE单价</t>
  </si>
  <si>
    <t/>
  </si>
  <si>
    <t>江苏林</t>
  </si>
  <si>
    <t>总成参考价-销售估价</t>
  </si>
  <si>
    <t>CNY</t>
  </si>
  <si>
    <t>散件</t>
  </si>
  <si>
    <t>胡继燕</t>
  </si>
  <si>
    <t>总成参考价</t>
  </si>
  <si>
    <t>洪巧明</t>
  </si>
  <si>
    <t>系统价</t>
  </si>
  <si>
    <t>邹娇</t>
  </si>
  <si>
    <t>参考价</t>
  </si>
  <si>
    <t>狄斌</t>
  </si>
  <si>
    <t>董培菊</t>
  </si>
  <si>
    <t>双宇</t>
  </si>
  <si>
    <t>DPHS12-00-11.0/2.4-L40</t>
  </si>
  <si>
    <t>DPHS12-X0-5.75/1.27-L30</t>
  </si>
  <si>
    <t>郑锦清</t>
  </si>
  <si>
    <t>批量价</t>
  </si>
  <si>
    <t>A01011767</t>
  </si>
  <si>
    <t>A01011803</t>
  </si>
  <si>
    <t>A06101093</t>
  </si>
  <si>
    <t>王永东</t>
  </si>
  <si>
    <t>A06101085</t>
  </si>
  <si>
    <t>销售估价</t>
  </si>
  <si>
    <t>天久</t>
  </si>
  <si>
    <t>含5W分摊价</t>
  </si>
  <si>
    <t>A04032754</t>
  </si>
  <si>
    <t>询价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</si>
  <si>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</si>
  <si>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</si>
  <si>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</si>
  <si>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</si>
  <si>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</si>
  <si>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</si>
  <si>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</si>
  <si>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</si>
  <si>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</si>
  <si>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</si>
  <si>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</si>
  <si>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</si>
  <si>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电子锁绳正式方案加长，可多报些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</si>
</sst>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&quot; &quot;#,##0.00&quot; &quot;[$€-407]&quot; &quot;;&quot;-&quot;#,##0.00&quot; &quot;[$€-407]&quot; &quot;;&quot; -&quot;00&quot; &quot;[$€-407]&quot; &quot;;&quot; &quot;@&quot; &quot;"/>
    <numFmt numFmtId="178" formatCode="_-* #,##0.0\ [$€-1]_-;\-* #,##0.0\ [$€-1]_-;_-* &quot;-&quot;??\ [$€-1]_-"/>
    <numFmt numFmtId="179" formatCode="#,##0\ [$€-1];[Red]\-#,##0\ [$€-1]"/>
    <numFmt numFmtId="180" formatCode="0_);[Red]\(0\)"/>
    <numFmt numFmtId="181" formatCode="_ * #,##0.000_ ;_ * \-#,##0.000_ ;_ * &quot;-&quot;??.0_ ;_ @_ "/>
    <numFmt numFmtId="182" formatCode="_ * #,##0_ ;_ * \-#,##0_ ;_ * &quot;-&quot;??_ ;_ @_ "/>
    <numFmt numFmtId="183" formatCode="_ * #,##0.00_ ;_ * \-#,##0.00_ ;_ * &quot;-&quot;??.00_ ;_ @_ "/>
    <numFmt numFmtId="184" formatCode="0.000_ "/>
    <numFmt numFmtId="185" formatCode="0.00_ "/>
    <numFmt numFmtId="186" formatCode="_ * #,##0.00_ ;_ * \-#,##0.00_ ;_ * &quot;-&quot;??.0_ ;_ @_ "/>
    <numFmt numFmtId="187" formatCode="_ * #,##0.0_ ;_ * \-#,##0.0_ ;_ * &quot;-&quot;??_ ;_ @_ "/>
    <numFmt numFmtId="188" formatCode="0.0_ "/>
    <numFmt numFmtId="189" formatCode="0.0"/>
    <numFmt numFmtId="190" formatCode="&quot;项&quot;&quot;目&quot;&quot;生&quot;&quot;命&quot;&quot;周&quot;&quot;期&quot;\:#&quot;年&quot;"/>
    <numFmt numFmtId="191" formatCode="0.000_);[Red]\(0.000\)"/>
    <numFmt numFmtId="192" formatCode="0.0_);[Red]\(0.0\)"/>
    <numFmt numFmtId="193" formatCode="0.00_);[Red]\(0.00\)"/>
    <numFmt numFmtId="194" formatCode="#,##0.00_ "/>
    <numFmt numFmtId="195" formatCode="0_ "/>
    <numFmt numFmtId="196" formatCode=";;;"/>
    <numFmt numFmtId="197" formatCode="_ * #,##0.0_ ;_ * \-#,##0.0_ ;_ * &quot;-&quot;??.0_ ;_ @_ "/>
    <numFmt numFmtId="198" formatCode="_ * #,##0.000_ ;_ * \-#,##0.000_ ;_ * &quot;-&quot;??_ ;_ @_ "/>
    <numFmt numFmtId="199" formatCode="0.0%"/>
  </numFmts>
  <fonts count="6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0"/>
      <color theme="1"/>
      <name val="微软雅黑"/>
      <charset val="134"/>
    </font>
    <font>
      <sz val="11"/>
      <name val="等线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C00000"/>
      <name val="等线"/>
      <charset val="134"/>
      <scheme val="minor"/>
    </font>
    <font>
      <sz val="10"/>
      <name val="微软雅黑"/>
      <charset val="134"/>
    </font>
    <font>
      <b/>
      <u/>
      <sz val="12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u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8"/>
      <color theme="1"/>
      <name val="微软雅黑"/>
      <charset val="134"/>
    </font>
    <font>
      <sz val="10"/>
      <color indexed="8"/>
      <name val="微软雅黑"/>
      <charset val="134"/>
    </font>
    <font>
      <sz val="8"/>
      <name val="微软雅黑"/>
      <charset val="134"/>
    </font>
    <font>
      <b/>
      <sz val="8"/>
      <color theme="1"/>
      <name val="微软雅黑"/>
      <charset val="134"/>
    </font>
    <font>
      <sz val="18"/>
      <color theme="1"/>
      <name val="微软雅黑"/>
      <charset val="134"/>
    </font>
    <font>
      <b/>
      <sz val="13"/>
      <color rgb="FF000000"/>
      <name val="微软雅黑"/>
      <charset val="134"/>
    </font>
    <font>
      <b/>
      <sz val="13"/>
      <color rgb="FF08090C"/>
      <name val="微软雅黑"/>
      <charset val="134"/>
    </font>
    <font>
      <sz val="13"/>
      <color rgb="FF08090C"/>
      <name val="微软雅黑"/>
      <charset val="134"/>
    </font>
    <font>
      <b/>
      <sz val="10"/>
      <color rgb="FF0033CC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0"/>
      <color rgb="FF0033CC"/>
      <name val="微软雅黑"/>
      <charset val="134"/>
    </font>
    <font>
      <sz val="11"/>
      <color rgb="FF000000"/>
      <name val="微软雅黑"/>
      <charset val="134"/>
    </font>
    <font>
      <u/>
      <sz val="10"/>
      <color theme="1"/>
      <name val="微软雅黑"/>
      <charset val="134"/>
    </font>
    <font>
      <u/>
      <sz val="10"/>
      <color rgb="FF0033CC"/>
      <name val="微软雅黑"/>
      <charset val="134"/>
    </font>
    <font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u/>
      <sz val="10"/>
      <color rgb="FFFF0000"/>
      <name val="微软雅黑"/>
      <charset val="134"/>
    </font>
    <font>
      <u/>
      <sz val="10"/>
      <color rgb="FF00000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0"/>
      <color theme="1"/>
      <name val="等线"/>
      <charset val="134"/>
      <scheme val="minor"/>
    </font>
    <font>
      <sz val="9.5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000000"/>
      </top>
      <bottom style="medium">
        <color rgb="FF0D0D0D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 style="medium">
        <color auto="1"/>
      </top>
      <bottom/>
      <diagonal/>
    </border>
    <border>
      <left style="medium">
        <color auto="1"/>
      </left>
      <right style="dotted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hair">
        <color rgb="FF000000"/>
      </bottom>
      <diagonal/>
    </border>
    <border>
      <left/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dotted">
        <color rgb="FF000000"/>
      </right>
      <top style="hair">
        <color rgb="FF000000"/>
      </top>
      <bottom/>
      <diagonal/>
    </border>
    <border>
      <left/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dotted">
        <color rgb="FF000000"/>
      </right>
      <top/>
      <bottom style="hair">
        <color rgb="FF000000"/>
      </bottom>
      <diagonal/>
    </border>
    <border>
      <left/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tted">
        <color rgb="FF000000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3" borderId="83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84" applyNumberFormat="0" applyFill="0" applyAlignment="0" applyProtection="0">
      <alignment vertical="center"/>
    </xf>
    <xf numFmtId="0" fontId="46" fillId="0" borderId="84" applyNumberFormat="0" applyFill="0" applyAlignment="0" applyProtection="0">
      <alignment vertical="center"/>
    </xf>
    <xf numFmtId="0" fontId="47" fillId="0" borderId="8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4" borderId="86" applyNumberFormat="0" applyAlignment="0" applyProtection="0">
      <alignment vertical="center"/>
    </xf>
    <xf numFmtId="0" fontId="49" fillId="15" borderId="87" applyNumberFormat="0" applyAlignment="0" applyProtection="0">
      <alignment vertical="center"/>
    </xf>
    <xf numFmtId="0" fontId="50" fillId="15" borderId="86" applyNumberFormat="0" applyAlignment="0" applyProtection="0">
      <alignment vertical="center"/>
    </xf>
    <xf numFmtId="0" fontId="51" fillId="16" borderId="88" applyNumberFormat="0" applyAlignment="0" applyProtection="0">
      <alignment vertical="center"/>
    </xf>
    <xf numFmtId="0" fontId="52" fillId="0" borderId="89" applyNumberFormat="0" applyFill="0" applyAlignment="0" applyProtection="0">
      <alignment vertical="center"/>
    </xf>
    <xf numFmtId="0" fontId="53" fillId="0" borderId="90" applyNumberFormat="0" applyFill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9" fillId="0" borderId="0"/>
    <xf numFmtId="0" fontId="60" fillId="0" borderId="0"/>
    <xf numFmtId="176" fontId="60" fillId="0" borderId="0"/>
    <xf numFmtId="177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0" fontId="0" fillId="0" borderId="0">
      <alignment vertical="center"/>
    </xf>
    <xf numFmtId="0" fontId="0" fillId="0" borderId="0"/>
    <xf numFmtId="0" fontId="59" fillId="0" borderId="0">
      <alignment vertical="center"/>
    </xf>
    <xf numFmtId="0" fontId="61" fillId="0" borderId="0" applyNumberFormat="0" applyFon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0" fillId="0" borderId="0"/>
    <xf numFmtId="0" fontId="0" fillId="0" borderId="0"/>
    <xf numFmtId="0" fontId="0" fillId="0" borderId="0">
      <alignment vertical="center"/>
    </xf>
    <xf numFmtId="0" fontId="6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</cellStyleXfs>
  <cellXfs count="666">
    <xf numFmtId="0" fontId="0" fillId="0" borderId="0" xfId="0">
      <alignment vertical="center"/>
    </xf>
    <xf numFmtId="0" fontId="0" fillId="0" borderId="0" xfId="57" applyFont="1" applyFill="1" applyAlignment="1">
      <alignment vertical="center"/>
    </xf>
    <xf numFmtId="0" fontId="1" fillId="0" borderId="0" xfId="81" applyNumberFormat="1" applyFont="1" applyFill="1" applyAlignment="1">
      <alignment horizontal="center" vertical="center"/>
    </xf>
    <xf numFmtId="179" fontId="2" fillId="0" borderId="0" xfId="81" applyNumberFormat="1" applyFont="1" applyFill="1" applyBorder="1" applyAlignment="1">
      <alignment vertical="center" wrapText="1"/>
    </xf>
    <xf numFmtId="179" fontId="1" fillId="0" borderId="0" xfId="81" applyNumberFormat="1" applyFont="1" applyFill="1" applyAlignment="1">
      <alignment vertical="center"/>
    </xf>
    <xf numFmtId="0" fontId="1" fillId="0" borderId="0" xfId="81" applyNumberFormat="1" applyFont="1" applyFill="1" applyAlignment="1">
      <alignment vertical="center"/>
    </xf>
    <xf numFmtId="179" fontId="1" fillId="0" borderId="0" xfId="81" applyNumberFormat="1" applyFont="1" applyFill="1" applyAlignment="1">
      <alignment horizontal="center" vertical="center"/>
    </xf>
    <xf numFmtId="179" fontId="0" fillId="0" borderId="0" xfId="81" applyFont="1" applyFill="1" applyAlignment="1">
      <alignment vertical="center"/>
    </xf>
    <xf numFmtId="0" fontId="2" fillId="0" borderId="1" xfId="81" applyNumberFormat="1" applyFont="1" applyFill="1" applyBorder="1" applyAlignment="1">
      <alignment horizontal="center" vertical="center"/>
    </xf>
    <xf numFmtId="179" fontId="2" fillId="0" borderId="1" xfId="81" applyNumberFormat="1" applyFont="1" applyFill="1" applyBorder="1" applyAlignment="1">
      <alignment horizontal="center" vertical="center" wrapText="1"/>
    </xf>
    <xf numFmtId="179" fontId="2" fillId="0" borderId="1" xfId="81" applyNumberFormat="1" applyFont="1" applyFill="1" applyBorder="1" applyAlignment="1">
      <alignment horizontal="center" vertical="center"/>
    </xf>
    <xf numFmtId="0" fontId="2" fillId="0" borderId="1" xfId="81" applyNumberFormat="1" applyFont="1" applyFill="1" applyBorder="1" applyAlignment="1">
      <alignment horizontal="center" vertical="center" wrapText="1"/>
    </xf>
    <xf numFmtId="0" fontId="1" fillId="0" borderId="2" xfId="57" applyFont="1" applyFill="1" applyBorder="1" applyAlignment="1">
      <alignment horizontal="center" vertical="center" wrapText="1"/>
    </xf>
    <xf numFmtId="0" fontId="1" fillId="0" borderId="1" xfId="57" applyFont="1" applyFill="1" applyBorder="1" applyAlignment="1">
      <alignment horizontal="center" vertical="center" wrapText="1"/>
    </xf>
    <xf numFmtId="0" fontId="2" fillId="0" borderId="1" xfId="53" applyFont="1" applyFill="1" applyBorder="1" applyAlignment="1">
      <alignment horizontal="center" vertical="center"/>
    </xf>
    <xf numFmtId="0" fontId="1" fillId="0" borderId="3" xfId="57" applyFont="1" applyFill="1" applyBorder="1" applyAlignment="1">
      <alignment horizontal="center" vertical="center" wrapText="1"/>
    </xf>
    <xf numFmtId="0" fontId="1" fillId="0" borderId="4" xfId="57" applyFont="1" applyFill="1" applyBorder="1" applyAlignment="1">
      <alignment horizontal="center" vertical="center" wrapText="1"/>
    </xf>
    <xf numFmtId="0" fontId="2" fillId="0" borderId="2" xfId="57" applyFont="1" applyFill="1" applyBorder="1" applyAlignment="1">
      <alignment horizontal="center" vertical="center" wrapText="1"/>
    </xf>
    <xf numFmtId="0" fontId="2" fillId="0" borderId="1" xfId="57" applyFont="1" applyFill="1" applyBorder="1" applyAlignment="1">
      <alignment horizontal="center" vertical="center" wrapText="1"/>
    </xf>
    <xf numFmtId="0" fontId="2" fillId="0" borderId="1" xfId="57" applyFont="1" applyFill="1" applyBorder="1" applyAlignment="1">
      <alignment horizontal="center" vertical="center"/>
    </xf>
    <xf numFmtId="0" fontId="2" fillId="0" borderId="3" xfId="57" applyFont="1" applyFill="1" applyBorder="1" applyAlignment="1">
      <alignment horizontal="center" vertical="center" wrapText="1"/>
    </xf>
    <xf numFmtId="0" fontId="2" fillId="0" borderId="4" xfId="57" applyFont="1" applyFill="1" applyBorder="1" applyAlignment="1">
      <alignment horizontal="center" vertical="center" wrapText="1"/>
    </xf>
    <xf numFmtId="0" fontId="1" fillId="0" borderId="1" xfId="53" applyFont="1" applyFill="1" applyBorder="1" applyAlignment="1">
      <alignment horizontal="center" vertical="center" wrapText="1"/>
    </xf>
    <xf numFmtId="0" fontId="1" fillId="0" borderId="2" xfId="57" applyFont="1" applyFill="1" applyBorder="1" applyAlignment="1">
      <alignment horizontal="left" vertical="center" wrapText="1"/>
    </xf>
    <xf numFmtId="0" fontId="1" fillId="0" borderId="1" xfId="57" applyFont="1" applyFill="1" applyBorder="1" applyAlignment="1">
      <alignment horizontal="center" vertical="center"/>
    </xf>
    <xf numFmtId="0" fontId="1" fillId="0" borderId="5" xfId="57" applyFont="1" applyFill="1" applyBorder="1" applyAlignment="1">
      <alignment horizontal="center" vertical="center" wrapText="1"/>
    </xf>
    <xf numFmtId="0" fontId="1" fillId="0" borderId="0" xfId="0" applyFont="1" applyFill="1" applyAlignment="1"/>
    <xf numFmtId="0" fontId="0" fillId="0" borderId="0" xfId="81" applyNumberFormat="1" applyFont="1" applyFill="1" applyAlignment="1">
      <alignment vertical="center"/>
    </xf>
    <xf numFmtId="0" fontId="1" fillId="0" borderId="1" xfId="54" applyNumberFormat="1" applyFont="1" applyFill="1" applyBorder="1" applyAlignment="1">
      <alignment horizontal="center" vertical="center"/>
    </xf>
    <xf numFmtId="0" fontId="3" fillId="0" borderId="1" xfId="54" applyNumberFormat="1" applyFont="1" applyFill="1" applyBorder="1" applyAlignment="1">
      <alignment horizontal="center" vertical="center"/>
    </xf>
    <xf numFmtId="0" fontId="1" fillId="0" borderId="1" xfId="81" applyNumberFormat="1" applyFont="1" applyFill="1" applyBorder="1" applyAlignment="1">
      <alignment horizontal="center" vertical="center"/>
    </xf>
    <xf numFmtId="179" fontId="4" fillId="0" borderId="0" xfId="81" applyFont="1" applyFill="1" applyAlignment="1">
      <alignment vertical="center"/>
    </xf>
    <xf numFmtId="180" fontId="1" fillId="0" borderId="0" xfId="81" applyNumberFormat="1" applyFont="1" applyFill="1" applyAlignment="1">
      <alignment horizontal="center" vertical="center"/>
    </xf>
    <xf numFmtId="179" fontId="1" fillId="0" borderId="0" xfId="81" applyFont="1" applyFill="1" applyAlignment="1">
      <alignment horizontal="center" vertical="center"/>
    </xf>
    <xf numFmtId="43" fontId="0" fillId="0" borderId="0" xfId="81" applyNumberFormat="1" applyFont="1" applyFill="1" applyAlignment="1">
      <alignment vertical="center"/>
    </xf>
    <xf numFmtId="0" fontId="5" fillId="0" borderId="1" xfId="54" applyNumberFormat="1" applyFont="1" applyFill="1" applyBorder="1" applyAlignment="1">
      <alignment horizontal="center" vertical="center"/>
    </xf>
    <xf numFmtId="180" fontId="6" fillId="0" borderId="1" xfId="54" applyNumberFormat="1" applyFont="1" applyFill="1" applyBorder="1" applyAlignment="1">
      <alignment horizontal="center" vertical="center"/>
    </xf>
    <xf numFmtId="179" fontId="6" fillId="0" borderId="1" xfId="54" applyNumberFormat="1" applyFont="1" applyFill="1" applyBorder="1" applyAlignment="1">
      <alignment horizontal="center" vertical="center"/>
    </xf>
    <xf numFmtId="0" fontId="6" fillId="0" borderId="1" xfId="54" applyNumberFormat="1" applyFont="1" applyFill="1" applyBorder="1" applyAlignment="1">
      <alignment horizontal="center" vertical="center"/>
    </xf>
    <xf numFmtId="0" fontId="5" fillId="2" borderId="1" xfId="54" applyNumberFormat="1" applyFont="1" applyFill="1" applyBorder="1" applyAlignment="1">
      <alignment horizontal="center" vertical="center"/>
    </xf>
    <xf numFmtId="179" fontId="0" fillId="0" borderId="0" xfId="81" applyFont="1" applyFill="1" applyAlignment="1">
      <alignment horizontal="center" vertical="center"/>
    </xf>
    <xf numFmtId="43" fontId="0" fillId="0" borderId="0" xfId="81" applyNumberFormat="1" applyFont="1" applyFill="1" applyAlignment="1">
      <alignment horizontal="center" vertical="center"/>
    </xf>
    <xf numFmtId="0" fontId="1" fillId="2" borderId="1" xfId="81" applyNumberFormat="1" applyFont="1" applyFill="1" applyBorder="1" applyAlignment="1">
      <alignment horizontal="center" vertical="center"/>
    </xf>
    <xf numFmtId="0" fontId="1" fillId="2" borderId="1" xfId="57" applyFont="1" applyFill="1" applyBorder="1" applyAlignment="1">
      <alignment horizontal="center" vertical="center" wrapText="1"/>
    </xf>
    <xf numFmtId="0" fontId="2" fillId="2" borderId="1" xfId="53" applyFont="1" applyFill="1" applyBorder="1" applyAlignment="1">
      <alignment horizontal="center" vertical="center"/>
    </xf>
    <xf numFmtId="0" fontId="2" fillId="2" borderId="2" xfId="57" applyFont="1" applyFill="1" applyBorder="1" applyAlignment="1">
      <alignment horizontal="center" vertical="center" wrapText="1"/>
    </xf>
    <xf numFmtId="0" fontId="4" fillId="0" borderId="0" xfId="81" applyNumberFormat="1" applyFont="1" applyFill="1" applyAlignment="1">
      <alignment horizontal="center" vertical="center"/>
    </xf>
    <xf numFmtId="43" fontId="4" fillId="0" borderId="0" xfId="81" applyNumberFormat="1" applyFont="1" applyFill="1" applyAlignment="1">
      <alignment horizontal="center" vertical="center"/>
    </xf>
    <xf numFmtId="0" fontId="2" fillId="2" borderId="3" xfId="57" applyFont="1" applyFill="1" applyBorder="1" applyAlignment="1">
      <alignment horizontal="center" vertical="center" wrapText="1"/>
    </xf>
    <xf numFmtId="0" fontId="2" fillId="2" borderId="4" xfId="57" applyFont="1" applyFill="1" applyBorder="1" applyAlignment="1">
      <alignment horizontal="center" vertical="center" wrapText="1"/>
    </xf>
    <xf numFmtId="0" fontId="2" fillId="2" borderId="1" xfId="57" applyFont="1" applyFill="1" applyBorder="1" applyAlignment="1">
      <alignment horizontal="center" vertical="center" wrapText="1"/>
    </xf>
    <xf numFmtId="0" fontId="2" fillId="2" borderId="1" xfId="57" applyFont="1" applyFill="1" applyBorder="1" applyAlignment="1">
      <alignment horizontal="center" vertical="center"/>
    </xf>
    <xf numFmtId="0" fontId="0" fillId="0" borderId="0" xfId="81" applyNumberFormat="1" applyFont="1" applyFill="1" applyAlignment="1">
      <alignment horizontal="center" vertical="center"/>
    </xf>
    <xf numFmtId="43" fontId="7" fillId="0" borderId="0" xfId="81" applyNumberFormat="1" applyFont="1" applyFill="1" applyAlignment="1">
      <alignment horizontal="center" vertical="center"/>
    </xf>
    <xf numFmtId="0" fontId="1" fillId="2" borderId="1" xfId="53" applyFont="1" applyFill="1" applyBorder="1" applyAlignment="1">
      <alignment horizontal="center" vertical="center" wrapText="1"/>
    </xf>
    <xf numFmtId="49" fontId="2" fillId="2" borderId="1" xfId="57" applyNumberFormat="1" applyFont="1" applyFill="1" applyBorder="1" applyAlignment="1">
      <alignment horizontal="center" vertical="center"/>
    </xf>
    <xf numFmtId="49" fontId="1" fillId="2" borderId="1" xfId="57" applyNumberFormat="1" applyFont="1" applyFill="1" applyBorder="1" applyAlignment="1">
      <alignment horizontal="center" vertical="center"/>
    </xf>
    <xf numFmtId="0" fontId="2" fillId="2" borderId="1" xfId="53" applyFont="1" applyFill="1" applyBorder="1" applyAlignment="1">
      <alignment horizontal="center" vertical="center" wrapText="1"/>
    </xf>
    <xf numFmtId="0" fontId="1" fillId="2" borderId="1" xfId="53" applyFont="1" applyFill="1" applyBorder="1" applyAlignment="1">
      <alignment horizontal="center" vertical="center"/>
    </xf>
    <xf numFmtId="0" fontId="1" fillId="2" borderId="1" xfId="57" applyFont="1" applyFill="1" applyBorder="1" applyAlignment="1">
      <alignment horizontal="center" vertical="center"/>
    </xf>
    <xf numFmtId="0" fontId="1" fillId="2" borderId="2" xfId="57" applyFont="1" applyFill="1" applyBorder="1" applyAlignment="1">
      <alignment horizontal="center" vertical="center"/>
    </xf>
    <xf numFmtId="49" fontId="2" fillId="2" borderId="2" xfId="57" applyNumberFormat="1" applyFont="1" applyFill="1" applyBorder="1" applyAlignment="1">
      <alignment horizontal="center" vertical="center"/>
    </xf>
    <xf numFmtId="0" fontId="2" fillId="2" borderId="2" xfId="53" applyFont="1" applyFill="1" applyBorder="1" applyAlignment="1">
      <alignment horizontal="center" vertical="center"/>
    </xf>
    <xf numFmtId="0" fontId="2" fillId="2" borderId="6" xfId="53" applyFont="1" applyFill="1" applyBorder="1" applyAlignment="1">
      <alignment horizontal="center" vertical="center"/>
    </xf>
    <xf numFmtId="0" fontId="2" fillId="2" borderId="7" xfId="57" applyFont="1" applyFill="1" applyBorder="1" applyAlignment="1">
      <alignment horizontal="center" vertical="center" wrapText="1"/>
    </xf>
    <xf numFmtId="0" fontId="2" fillId="2" borderId="6" xfId="53" applyFont="1" applyFill="1" applyBorder="1" applyAlignment="1">
      <alignment horizontal="center" vertical="center" wrapText="1"/>
    </xf>
    <xf numFmtId="0" fontId="2" fillId="2" borderId="4" xfId="53" applyFont="1" applyFill="1" applyBorder="1" applyAlignment="1">
      <alignment horizontal="center" vertical="center"/>
    </xf>
    <xf numFmtId="49" fontId="2" fillId="2" borderId="1" xfId="57" applyNumberFormat="1" applyFont="1" applyFill="1" applyBorder="1" applyAlignment="1">
      <alignment horizontal="center" vertical="center" wrapText="1"/>
    </xf>
    <xf numFmtId="49" fontId="1" fillId="2" borderId="1" xfId="57" applyNumberFormat="1" applyFont="1" applyFill="1" applyBorder="1" applyAlignment="1">
      <alignment horizontal="center" vertical="center" wrapText="1"/>
    </xf>
    <xf numFmtId="49" fontId="1" fillId="2" borderId="1" xfId="53" applyNumberFormat="1" applyFont="1" applyFill="1" applyBorder="1" applyAlignment="1">
      <alignment horizontal="center" vertical="center"/>
    </xf>
    <xf numFmtId="49" fontId="2" fillId="2" borderId="1" xfId="53" applyNumberFormat="1" applyFont="1" applyFill="1" applyBorder="1" applyAlignment="1">
      <alignment horizontal="center" vertical="center"/>
    </xf>
    <xf numFmtId="0" fontId="1" fillId="2" borderId="1" xfId="53" applyNumberFormat="1" applyFont="1" applyFill="1" applyBorder="1" applyAlignment="1">
      <alignment horizontal="center" vertical="center"/>
    </xf>
    <xf numFmtId="180" fontId="2" fillId="2" borderId="1" xfId="53" applyNumberFormat="1" applyFont="1" applyFill="1" applyBorder="1" applyAlignment="1">
      <alignment horizontal="center" vertical="center"/>
    </xf>
    <xf numFmtId="49" fontId="1" fillId="2" borderId="1" xfId="58" applyNumberFormat="1" applyFont="1" applyFill="1" applyBorder="1" applyAlignment="1">
      <alignment horizontal="center" vertical="center"/>
    </xf>
    <xf numFmtId="0" fontId="1" fillId="2" borderId="4" xfId="57" applyFont="1" applyFill="1" applyBorder="1" applyAlignment="1">
      <alignment horizontal="center" vertical="center"/>
    </xf>
    <xf numFmtId="0" fontId="1" fillId="2" borderId="4" xfId="53" applyFont="1" applyFill="1" applyBorder="1" applyAlignment="1">
      <alignment horizontal="center" vertical="center"/>
    </xf>
    <xf numFmtId="0" fontId="2" fillId="2" borderId="1" xfId="81" applyNumberFormat="1" applyFont="1" applyFill="1" applyBorder="1" applyAlignment="1">
      <alignment horizontal="center" vertical="center"/>
    </xf>
    <xf numFmtId="43" fontId="4" fillId="0" borderId="0" xfId="81" applyNumberFormat="1" applyFont="1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57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" fillId="2" borderId="1" xfId="57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43" fontId="8" fillId="0" borderId="0" xfId="1" applyFont="1" applyFill="1" applyAlignment="1">
      <alignment horizontal="center" vertical="center"/>
    </xf>
    <xf numFmtId="181" fontId="8" fillId="0" borderId="0" xfId="1" applyNumberFormat="1" applyFont="1" applyFill="1" applyAlignment="1">
      <alignment horizontal="center" vertical="center"/>
    </xf>
    <xf numFmtId="43" fontId="8" fillId="0" borderId="0" xfId="1" applyFont="1" applyFill="1">
      <alignment vertical="center"/>
    </xf>
    <xf numFmtId="182" fontId="8" fillId="0" borderId="0" xfId="1" applyNumberFormat="1" applyFont="1" applyFill="1" applyAlignment="1">
      <alignment horizontal="center" vertical="center" wrapText="1"/>
    </xf>
    <xf numFmtId="43" fontId="8" fillId="0" borderId="0" xfId="1" applyFont="1" applyFill="1" applyAlignment="1">
      <alignment horizontal="center" vertical="center" wrapText="1"/>
    </xf>
    <xf numFmtId="0" fontId="8" fillId="0" borderId="0" xfId="0" applyFont="1" applyFill="1">
      <alignment vertical="center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43" fontId="10" fillId="0" borderId="0" xfId="1" applyFont="1" applyFill="1" applyAlignment="1">
      <alignment horizontal="left" vertical="center"/>
    </xf>
    <xf numFmtId="43" fontId="10" fillId="0" borderId="0" xfId="1" applyFont="1" applyFill="1" applyAlignment="1">
      <alignment horizontal="center"/>
    </xf>
    <xf numFmtId="181" fontId="8" fillId="0" borderId="0" xfId="1" applyNumberFormat="1" applyFont="1" applyFill="1" applyAlignment="1">
      <alignment horizontal="left" vertical="center"/>
    </xf>
    <xf numFmtId="43" fontId="8" fillId="0" borderId="0" xfId="1" applyFont="1" applyFill="1" applyAlignment="1">
      <alignment horizontal="left" vertical="center"/>
    </xf>
    <xf numFmtId="182" fontId="10" fillId="0" borderId="0" xfId="1" applyNumberFormat="1" applyFont="1" applyFill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3" fontId="8" fillId="0" borderId="1" xfId="1" applyFont="1" applyFill="1" applyBorder="1" applyAlignment="1">
      <alignment horizontal="center" vertical="center" wrapText="1"/>
    </xf>
    <xf numFmtId="181" fontId="8" fillId="0" borderId="1" xfId="1" applyNumberFormat="1" applyFont="1" applyFill="1" applyBorder="1" applyAlignment="1">
      <alignment horizontal="center" vertical="center" wrapText="1"/>
    </xf>
    <xf numFmtId="182" fontId="8" fillId="0" borderId="1" xfId="1" applyNumberFormat="1" applyFont="1" applyFill="1" applyBorder="1" applyAlignment="1">
      <alignment horizontal="center" vertical="center" wrapText="1"/>
    </xf>
    <xf numFmtId="0" fontId="8" fillId="0" borderId="1" xfId="0" applyFont="1" applyFill="1" applyBorder="1">
      <alignment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center"/>
    </xf>
    <xf numFmtId="43" fontId="8" fillId="0" borderId="1" xfId="1" applyFont="1" applyFill="1" applyBorder="1">
      <alignment vertical="center"/>
    </xf>
    <xf numFmtId="181" fontId="2" fillId="0" borderId="8" xfId="0" applyNumberFormat="1" applyFont="1" applyFill="1" applyBorder="1" applyAlignment="1">
      <alignment horizontal="center" vertical="center"/>
    </xf>
    <xf numFmtId="43" fontId="2" fillId="0" borderId="8" xfId="0" applyNumberFormat="1" applyFont="1" applyFill="1" applyBorder="1" applyAlignment="1">
      <alignment horizontal="center" vertical="center"/>
    </xf>
    <xf numFmtId="182" fontId="2" fillId="0" borderId="8" xfId="0" applyNumberFormat="1" applyFont="1" applyFill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/>
    </xf>
    <xf numFmtId="43" fontId="8" fillId="0" borderId="1" xfId="1" applyFont="1" applyFill="1" applyBorder="1" applyAlignment="1">
      <alignment vertical="center"/>
    </xf>
    <xf numFmtId="0" fontId="8" fillId="0" borderId="1" xfId="0" applyNumberFormat="1" applyFont="1" applyFill="1" applyBorder="1" applyAlignment="1" applyProtection="1">
      <alignment horizontal="center" vertical="center"/>
      <protection locked="0"/>
    </xf>
    <xf numFmtId="181" fontId="8" fillId="0" borderId="1" xfId="1" applyNumberFormat="1" applyFont="1" applyFill="1" applyBorder="1" applyAlignment="1">
      <alignment horizontal="center" vertical="center"/>
    </xf>
    <xf numFmtId="182" fontId="8" fillId="0" borderId="1" xfId="1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183" fontId="8" fillId="0" borderId="0" xfId="1" applyNumberFormat="1" applyFon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43" fontId="11" fillId="0" borderId="0" xfId="1" applyFont="1">
      <alignment vertical="center"/>
    </xf>
    <xf numFmtId="43" fontId="11" fillId="0" borderId="0" xfId="1" applyFont="1" applyFill="1">
      <alignment vertical="center"/>
    </xf>
    <xf numFmtId="43" fontId="11" fillId="0" borderId="0" xfId="0" applyNumberFormat="1" applyFont="1">
      <alignment vertical="center"/>
    </xf>
    <xf numFmtId="0" fontId="1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11" fillId="0" borderId="10" xfId="0" applyFont="1" applyBorder="1" applyAlignment="1">
      <alignment horizontal="right"/>
    </xf>
    <xf numFmtId="0" fontId="11" fillId="0" borderId="1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43" fontId="11" fillId="0" borderId="12" xfId="1" applyFont="1" applyFill="1" applyBorder="1" applyAlignment="1">
      <alignment horizontal="center" vertical="center" wrapText="1"/>
    </xf>
    <xf numFmtId="43" fontId="11" fillId="0" borderId="13" xfId="1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43" fontId="11" fillId="0" borderId="0" xfId="0" applyNumberFormat="1" applyFont="1" applyAlignment="1">
      <alignment vertical="center"/>
    </xf>
    <xf numFmtId="0" fontId="8" fillId="0" borderId="15" xfId="51" applyNumberFormat="1" applyFont="1" applyFill="1" applyBorder="1" applyAlignment="1">
      <alignment horizontal="left" vertical="center"/>
    </xf>
    <xf numFmtId="43" fontId="8" fillId="0" borderId="15" xfId="3" applyNumberFormat="1" applyFont="1" applyFill="1" applyBorder="1" applyAlignment="1" applyProtection="1">
      <alignment horizontal="left" vertical="center"/>
    </xf>
    <xf numFmtId="176" fontId="8" fillId="0" borderId="15" xfId="51" applyNumberFormat="1" applyFont="1" applyFill="1" applyBorder="1" applyAlignment="1">
      <alignment horizontal="left" vertical="center"/>
    </xf>
    <xf numFmtId="43" fontId="8" fillId="0" borderId="15" xfId="51" applyNumberFormat="1" applyFont="1" applyFill="1" applyBorder="1" applyAlignment="1">
      <alignment vertical="center"/>
    </xf>
    <xf numFmtId="43" fontId="11" fillId="0" borderId="15" xfId="0" applyNumberFormat="1" applyFont="1" applyFill="1" applyBorder="1" applyAlignment="1">
      <alignment horizontal="left" vertical="center"/>
    </xf>
    <xf numFmtId="43" fontId="11" fillId="0" borderId="15" xfId="1" applyNumberFormat="1" applyFont="1" applyFill="1" applyBorder="1" applyAlignment="1">
      <alignment horizontal="center" vertical="center" wrapText="1"/>
    </xf>
    <xf numFmtId="43" fontId="11" fillId="0" borderId="16" xfId="1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49" fontId="8" fillId="0" borderId="15" xfId="51" applyNumberFormat="1" applyFont="1" applyFill="1" applyBorder="1" applyAlignment="1">
      <alignment horizontal="left" vertical="center"/>
    </xf>
    <xf numFmtId="43" fontId="12" fillId="0" borderId="15" xfId="3" applyNumberFormat="1" applyFont="1" applyFill="1" applyBorder="1" applyAlignment="1" applyProtection="1">
      <alignment horizontal="left" vertical="center"/>
    </xf>
    <xf numFmtId="43" fontId="11" fillId="0" borderId="15" xfId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/>
    </xf>
    <xf numFmtId="43" fontId="12" fillId="0" borderId="0" xfId="0" applyNumberFormat="1" applyFont="1">
      <alignment vertical="center"/>
    </xf>
    <xf numFmtId="0" fontId="11" fillId="0" borderId="18" xfId="0" applyFont="1" applyBorder="1">
      <alignment vertical="center"/>
    </xf>
    <xf numFmtId="0" fontId="11" fillId="0" borderId="19" xfId="0" applyFont="1" applyFill="1" applyBorder="1" applyAlignment="1">
      <alignment horizontal="left" vertical="center"/>
    </xf>
    <xf numFmtId="43" fontId="11" fillId="0" borderId="18" xfId="1" applyFont="1" applyBorder="1">
      <alignment vertical="center"/>
    </xf>
    <xf numFmtId="43" fontId="11" fillId="0" borderId="18" xfId="1" applyFont="1" applyFill="1" applyBorder="1">
      <alignment vertical="center"/>
    </xf>
    <xf numFmtId="0" fontId="11" fillId="0" borderId="20" xfId="0" applyFont="1" applyBorder="1">
      <alignment vertical="center"/>
    </xf>
    <xf numFmtId="0" fontId="8" fillId="0" borderId="21" xfId="51" applyNumberFormat="1" applyFont="1" applyFill="1" applyBorder="1" applyAlignment="1">
      <alignment horizontal="left" vertical="center" wrapText="1"/>
    </xf>
    <xf numFmtId="43" fontId="8" fillId="0" borderId="21" xfId="1" applyFont="1" applyFill="1" applyBorder="1" applyAlignment="1">
      <alignment horizontal="right" vertical="center" wrapText="1"/>
    </xf>
    <xf numFmtId="43" fontId="8" fillId="0" borderId="0" xfId="1" applyFont="1" applyFill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14" fillId="0" borderId="0" xfId="53" applyFont="1" applyFill="1">
      <alignment vertical="center"/>
    </xf>
    <xf numFmtId="0" fontId="11" fillId="0" borderId="0" xfId="53" applyFont="1" applyFill="1">
      <alignment vertical="center"/>
    </xf>
    <xf numFmtId="0" fontId="13" fillId="0" borderId="0" xfId="53" applyFont="1" applyAlignment="1">
      <alignment horizontal="left" vertical="center"/>
    </xf>
    <xf numFmtId="0" fontId="15" fillId="0" borderId="0" xfId="53" applyFont="1" applyFill="1" applyAlignment="1">
      <alignment horizontal="left" vertical="center"/>
    </xf>
    <xf numFmtId="0" fontId="14" fillId="0" borderId="22" xfId="53" applyFont="1" applyFill="1" applyBorder="1" applyAlignment="1">
      <alignment horizontal="right" vertical="center"/>
    </xf>
    <xf numFmtId="0" fontId="11" fillId="0" borderId="22" xfId="53" applyFont="1" applyFill="1" applyBorder="1" applyAlignment="1">
      <alignment horizontal="right" vertical="center"/>
    </xf>
    <xf numFmtId="0" fontId="3" fillId="0" borderId="11" xfId="53" applyFont="1" applyFill="1" applyBorder="1" applyAlignment="1">
      <alignment horizontal="left" vertical="center" wrapText="1"/>
    </xf>
    <xf numFmtId="0" fontId="3" fillId="0" borderId="12" xfId="53" applyFont="1" applyFill="1" applyBorder="1" applyAlignment="1">
      <alignment horizontal="left" vertical="center" wrapText="1"/>
    </xf>
    <xf numFmtId="0" fontId="11" fillId="0" borderId="12" xfId="53" applyFont="1" applyFill="1" applyBorder="1" applyAlignment="1">
      <alignment horizontal="center" vertical="center" wrapText="1"/>
    </xf>
    <xf numFmtId="0" fontId="11" fillId="0" borderId="14" xfId="53" applyFont="1" applyFill="1" applyBorder="1" applyAlignment="1">
      <alignment vertical="center" wrapText="1"/>
    </xf>
    <xf numFmtId="0" fontId="8" fillId="0" borderId="15" xfId="51" applyNumberFormat="1" applyFont="1" applyFill="1" applyBorder="1" applyAlignment="1">
      <alignment horizontal="left" vertical="center" wrapText="1"/>
    </xf>
    <xf numFmtId="0" fontId="11" fillId="0" borderId="15" xfId="53" applyFont="1" applyFill="1" applyBorder="1" applyAlignment="1">
      <alignment horizontal="left" vertical="center"/>
    </xf>
    <xf numFmtId="0" fontId="11" fillId="0" borderId="15" xfId="53" applyFont="1" applyFill="1" applyBorder="1" applyAlignment="1">
      <alignment horizontal="center" vertical="center" wrapText="1"/>
    </xf>
    <xf numFmtId="0" fontId="11" fillId="0" borderId="17" xfId="53" applyFont="1" applyFill="1" applyBorder="1" applyAlignment="1">
      <alignment horizontal="left" vertical="center" wrapText="1"/>
    </xf>
    <xf numFmtId="43" fontId="8" fillId="0" borderId="15" xfId="51" applyNumberFormat="1" applyFont="1" applyFill="1" applyBorder="1" applyAlignment="1">
      <alignment horizontal="left" vertical="center"/>
    </xf>
    <xf numFmtId="43" fontId="11" fillId="0" borderId="15" xfId="53" applyNumberFormat="1" applyFont="1" applyFill="1" applyBorder="1" applyAlignment="1">
      <alignment horizontal="center" vertical="center"/>
    </xf>
    <xf numFmtId="43" fontId="11" fillId="0" borderId="17" xfId="1" applyFont="1" applyFill="1" applyBorder="1" applyAlignment="1">
      <alignment horizontal="center" vertical="center" wrapText="1"/>
    </xf>
    <xf numFmtId="43" fontId="11" fillId="0" borderId="15" xfId="53" applyNumberFormat="1" applyFont="1" applyFill="1" applyBorder="1">
      <alignment vertical="center"/>
    </xf>
    <xf numFmtId="43" fontId="11" fillId="0" borderId="15" xfId="1" applyFont="1" applyFill="1" applyBorder="1" applyAlignment="1">
      <alignment horizontal="right" vertical="center"/>
    </xf>
    <xf numFmtId="43" fontId="11" fillId="0" borderId="15" xfId="53" applyNumberFormat="1" applyFont="1" applyFill="1" applyBorder="1" applyAlignment="1">
      <alignment horizontal="center" vertical="center" wrapText="1"/>
    </xf>
    <xf numFmtId="43" fontId="11" fillId="0" borderId="0" xfId="1" applyFont="1" applyFill="1" applyBorder="1">
      <alignment vertical="center"/>
    </xf>
    <xf numFmtId="43" fontId="11" fillId="0" borderId="0" xfId="53" applyNumberFormat="1" applyFont="1" applyFill="1" applyBorder="1">
      <alignment vertical="center"/>
    </xf>
    <xf numFmtId="43" fontId="11" fillId="0" borderId="17" xfId="1" applyFont="1" applyFill="1" applyBorder="1" applyAlignment="1">
      <alignment horizontal="left" vertical="center" wrapText="1"/>
    </xf>
    <xf numFmtId="0" fontId="11" fillId="0" borderId="22" xfId="53" applyFont="1" applyFill="1" applyBorder="1" applyAlignment="1">
      <alignment horizontal="left" vertical="center"/>
    </xf>
    <xf numFmtId="0" fontId="11" fillId="0" borderId="23" xfId="53" applyFont="1" applyFill="1" applyBorder="1">
      <alignment vertical="center"/>
    </xf>
    <xf numFmtId="43" fontId="11" fillId="0" borderId="23" xfId="1" applyFont="1" applyFill="1" applyBorder="1">
      <alignment vertical="center"/>
    </xf>
    <xf numFmtId="0" fontId="11" fillId="0" borderId="24" xfId="53" applyFont="1" applyFill="1" applyBorder="1">
      <alignment vertical="center"/>
    </xf>
    <xf numFmtId="0" fontId="11" fillId="0" borderId="25" xfId="53" applyFont="1" applyBorder="1">
      <alignment vertical="center"/>
    </xf>
    <xf numFmtId="176" fontId="8" fillId="0" borderId="0" xfId="51" applyNumberFormat="1" applyFont="1" applyFill="1" applyBorder="1" applyAlignment="1">
      <alignment horizontal="left" vertical="center"/>
    </xf>
    <xf numFmtId="0" fontId="11" fillId="0" borderId="0" xfId="53" applyFont="1" applyFill="1" applyBorder="1">
      <alignment vertical="center"/>
    </xf>
    <xf numFmtId="43" fontId="11" fillId="0" borderId="0" xfId="1" applyFont="1" applyFill="1" applyBorder="1" applyAlignment="1">
      <alignment horizontal="right" vertical="center"/>
    </xf>
    <xf numFmtId="0" fontId="8" fillId="0" borderId="0" xfId="51" applyNumberFormat="1" applyFont="1" applyFill="1" applyBorder="1" applyAlignment="1">
      <alignment horizontal="left" vertical="center" wrapText="1"/>
    </xf>
    <xf numFmtId="184" fontId="11" fillId="0" borderId="0" xfId="53" applyNumberFormat="1" applyFont="1" applyFill="1">
      <alignment vertical="center"/>
    </xf>
    <xf numFmtId="0" fontId="11" fillId="0" borderId="0" xfId="53" applyFont="1" applyFill="1" applyAlignment="1">
      <alignment horizontal="right" vertical="center"/>
    </xf>
    <xf numFmtId="0" fontId="16" fillId="0" borderId="0" xfId="53" applyFont="1" applyFill="1" applyAlignment="1">
      <alignment horizontal="center" vertical="center"/>
    </xf>
    <xf numFmtId="0" fontId="1" fillId="0" borderId="0" xfId="53" applyFont="1" applyFill="1" applyAlignment="1">
      <alignment horizontal="center" vertical="center"/>
    </xf>
    <xf numFmtId="0" fontId="13" fillId="0" borderId="0" xfId="53" applyFont="1" applyFill="1" applyAlignment="1">
      <alignment horizontal="left" vertical="center"/>
    </xf>
    <xf numFmtId="0" fontId="5" fillId="0" borderId="0" xfId="53" applyFont="1" applyFill="1" applyAlignment="1">
      <alignment horizontal="center" vertical="center"/>
    </xf>
    <xf numFmtId="0" fontId="1" fillId="0" borderId="0" xfId="53" applyNumberFormat="1" applyFont="1" applyFill="1" applyAlignment="1">
      <alignment horizontal="center" vertical="center"/>
    </xf>
    <xf numFmtId="0" fontId="3" fillId="0" borderId="11" xfId="53" applyFont="1" applyFill="1" applyBorder="1" applyAlignment="1">
      <alignment horizontal="center" vertical="center" wrapText="1"/>
    </xf>
    <xf numFmtId="0" fontId="3" fillId="0" borderId="12" xfId="53" applyFont="1" applyFill="1" applyBorder="1" applyAlignment="1">
      <alignment horizontal="center" vertical="center" wrapText="1"/>
    </xf>
    <xf numFmtId="0" fontId="11" fillId="0" borderId="13" xfId="53" applyFont="1" applyFill="1" applyBorder="1" applyAlignment="1">
      <alignment horizontal="center" vertical="center" wrapText="1"/>
    </xf>
    <xf numFmtId="0" fontId="11" fillId="0" borderId="11" xfId="53" applyFont="1" applyFill="1" applyBorder="1" applyAlignment="1">
      <alignment horizontal="center" vertical="center" wrapText="1"/>
    </xf>
    <xf numFmtId="0" fontId="11" fillId="0" borderId="26" xfId="53" applyFont="1" applyFill="1" applyBorder="1" applyAlignment="1">
      <alignment horizontal="center" vertical="center" wrapText="1"/>
    </xf>
    <xf numFmtId="0" fontId="11" fillId="0" borderId="26" xfId="53" applyFont="1" applyFill="1" applyBorder="1" applyAlignment="1">
      <alignment vertical="center" wrapText="1"/>
    </xf>
    <xf numFmtId="0" fontId="11" fillId="0" borderId="26" xfId="0" applyFont="1" applyFill="1" applyBorder="1" applyAlignment="1" applyProtection="1">
      <alignment vertical="center" wrapText="1"/>
    </xf>
    <xf numFmtId="176" fontId="8" fillId="0" borderId="27" xfId="51" applyNumberFormat="1" applyFont="1" applyFill="1" applyBorder="1" applyAlignment="1">
      <alignment horizontal="center" vertical="center"/>
    </xf>
    <xf numFmtId="0" fontId="8" fillId="0" borderId="15" xfId="51" applyNumberFormat="1" applyFont="1" applyFill="1" applyBorder="1" applyAlignment="1">
      <alignment horizontal="center" vertical="center" wrapText="1"/>
    </xf>
    <xf numFmtId="0" fontId="11" fillId="0" borderId="15" xfId="53" applyFont="1" applyFill="1" applyBorder="1" applyAlignment="1">
      <alignment horizontal="center" vertical="center"/>
    </xf>
    <xf numFmtId="0" fontId="11" fillId="0" borderId="28" xfId="53" applyFont="1" applyFill="1" applyBorder="1" applyAlignment="1">
      <alignment horizontal="center" vertical="center" wrapText="1"/>
    </xf>
    <xf numFmtId="0" fontId="11" fillId="0" borderId="28" xfId="53" applyFont="1" applyFill="1" applyBorder="1" applyAlignment="1">
      <alignment vertical="center" wrapText="1"/>
    </xf>
    <xf numFmtId="0" fontId="11" fillId="0" borderId="29" xfId="0" applyFont="1" applyFill="1" applyBorder="1" applyAlignment="1" applyProtection="1">
      <alignment horizontal="center" vertical="center" wrapText="1"/>
    </xf>
    <xf numFmtId="0" fontId="11" fillId="0" borderId="27" xfId="0" applyFont="1" applyFill="1" applyBorder="1" applyAlignment="1">
      <alignment horizontal="left" vertical="center"/>
    </xf>
    <xf numFmtId="0" fontId="11" fillId="0" borderId="15" xfId="0" applyFont="1" applyFill="1" applyBorder="1" applyAlignment="1">
      <alignment horizontal="left" vertical="center"/>
    </xf>
    <xf numFmtId="0" fontId="11" fillId="0" borderId="15" xfId="0" applyFont="1" applyFill="1" applyBorder="1">
      <alignment vertical="center"/>
    </xf>
    <xf numFmtId="182" fontId="11" fillId="0" borderId="15" xfId="0" applyNumberFormat="1" applyFont="1" applyFill="1" applyBorder="1" applyAlignment="1">
      <alignment horizontal="right" vertical="center"/>
    </xf>
    <xf numFmtId="185" fontId="11" fillId="0" borderId="15" xfId="0" applyNumberFormat="1" applyFont="1" applyFill="1" applyBorder="1" applyAlignment="1">
      <alignment horizontal="right" vertical="center"/>
    </xf>
    <xf numFmtId="1" fontId="17" fillId="0" borderId="15" xfId="0" applyNumberFormat="1" applyFont="1" applyFill="1" applyBorder="1" applyAlignment="1" applyProtection="1">
      <alignment horizontal="right" vertical="center"/>
    </xf>
    <xf numFmtId="182" fontId="11" fillId="0" borderId="15" xfId="1" applyNumberFormat="1" applyFont="1" applyFill="1" applyBorder="1" applyAlignment="1">
      <alignment horizontal="center" vertical="center"/>
    </xf>
    <xf numFmtId="182" fontId="11" fillId="0" borderId="15" xfId="0" applyNumberFormat="1" applyFont="1" applyFill="1" applyBorder="1" applyAlignment="1">
      <alignment horizontal="center" vertical="center"/>
    </xf>
    <xf numFmtId="43" fontId="17" fillId="0" borderId="15" xfId="0" applyNumberFormat="1" applyFont="1" applyFill="1" applyBorder="1" applyAlignment="1" applyProtection="1">
      <alignment horizontal="center" vertical="center"/>
    </xf>
    <xf numFmtId="182" fontId="11" fillId="0" borderId="15" xfId="0" applyNumberFormat="1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left" vertical="center"/>
    </xf>
    <xf numFmtId="182" fontId="11" fillId="0" borderId="28" xfId="53" applyNumberFormat="1" applyFont="1" applyFill="1" applyBorder="1" applyAlignment="1">
      <alignment horizontal="center" vertical="center" wrapText="1"/>
    </xf>
    <xf numFmtId="43" fontId="11" fillId="0" borderId="15" xfId="0" applyNumberFormat="1" applyFont="1" applyFill="1" applyBorder="1" applyAlignment="1">
      <alignment horizontal="center" vertical="center"/>
    </xf>
    <xf numFmtId="0" fontId="11" fillId="0" borderId="27" xfId="53" applyFont="1" applyFill="1" applyBorder="1" applyAlignment="1">
      <alignment horizontal="left" vertical="center"/>
    </xf>
    <xf numFmtId="0" fontId="11" fillId="0" borderId="15" xfId="53" applyFont="1" applyFill="1" applyBorder="1">
      <alignment vertical="center"/>
    </xf>
    <xf numFmtId="182" fontId="11" fillId="0" borderId="15" xfId="53" applyNumberFormat="1" applyFont="1" applyFill="1" applyBorder="1" applyAlignment="1">
      <alignment horizontal="center" vertical="center" wrapText="1"/>
    </xf>
    <xf numFmtId="43" fontId="11" fillId="0" borderId="28" xfId="53" applyNumberFormat="1" applyFont="1" applyFill="1" applyBorder="1" applyAlignment="1">
      <alignment horizontal="center" vertical="center" wrapText="1"/>
    </xf>
    <xf numFmtId="182" fontId="11" fillId="0" borderId="15" xfId="1" applyNumberFormat="1" applyFont="1" applyFill="1" applyBorder="1" applyAlignment="1">
      <alignment vertical="center"/>
    </xf>
    <xf numFmtId="0" fontId="11" fillId="0" borderId="22" xfId="53" applyFont="1" applyFill="1" applyBorder="1" applyAlignment="1">
      <alignment horizontal="center" vertical="center"/>
    </xf>
    <xf numFmtId="0" fontId="11" fillId="0" borderId="23" xfId="53" applyFont="1" applyFill="1" applyBorder="1" applyAlignment="1">
      <alignment horizontal="center" vertical="center"/>
    </xf>
    <xf numFmtId="43" fontId="11" fillId="0" borderId="23" xfId="1" applyFont="1" applyFill="1" applyBorder="1" applyAlignment="1">
      <alignment horizontal="center" vertical="center"/>
    </xf>
    <xf numFmtId="0" fontId="11" fillId="0" borderId="18" xfId="53" applyFont="1" applyFill="1" applyBorder="1" applyAlignment="1">
      <alignment horizontal="center" vertical="center"/>
    </xf>
    <xf numFmtId="43" fontId="11" fillId="0" borderId="31" xfId="53" applyNumberFormat="1" applyFont="1" applyFill="1" applyBorder="1" applyAlignment="1">
      <alignment vertical="center" wrapText="1"/>
    </xf>
    <xf numFmtId="0" fontId="8" fillId="0" borderId="21" xfId="51" applyNumberFormat="1" applyFont="1" applyFill="1" applyBorder="1" applyAlignment="1">
      <alignment horizontal="center" vertical="center" wrapText="1"/>
    </xf>
    <xf numFmtId="43" fontId="8" fillId="0" borderId="21" xfId="51" applyNumberFormat="1" applyFont="1" applyFill="1" applyBorder="1" applyAlignment="1">
      <alignment horizontal="center" vertical="center" wrapText="1"/>
    </xf>
    <xf numFmtId="43" fontId="1" fillId="0" borderId="0" xfId="53" applyNumberFormat="1" applyFont="1" applyFill="1" applyAlignment="1">
      <alignment horizontal="center" vertical="center"/>
    </xf>
    <xf numFmtId="186" fontId="16" fillId="0" borderId="0" xfId="53" applyNumberFormat="1" applyFont="1" applyFill="1" applyAlignment="1">
      <alignment horizontal="center" vertical="center"/>
    </xf>
    <xf numFmtId="0" fontId="1" fillId="0" borderId="0" xfId="53" applyFont="1" applyFill="1" applyAlignment="1">
      <alignment horizontal="left" vertical="center"/>
    </xf>
    <xf numFmtId="0" fontId="16" fillId="0" borderId="0" xfId="53" applyFont="1" applyFill="1">
      <alignment vertical="center"/>
    </xf>
    <xf numFmtId="0" fontId="1" fillId="0" borderId="0" xfId="53" applyFont="1" applyFill="1">
      <alignment vertical="center"/>
    </xf>
    <xf numFmtId="0" fontId="5" fillId="0" borderId="0" xfId="53" applyFont="1" applyFill="1" applyAlignment="1">
      <alignment horizontal="left" vertical="center"/>
    </xf>
    <xf numFmtId="0" fontId="1" fillId="0" borderId="0" xfId="53" applyFont="1" applyFill="1" applyAlignment="1" applyProtection="1">
      <alignment horizontal="center" vertical="center"/>
    </xf>
    <xf numFmtId="0" fontId="3" fillId="0" borderId="21" xfId="53" applyFont="1" applyFill="1" applyBorder="1" applyAlignment="1">
      <alignment vertical="center"/>
    </xf>
    <xf numFmtId="0" fontId="3" fillId="0" borderId="32" xfId="53" applyFont="1" applyFill="1" applyBorder="1" applyAlignment="1">
      <alignment vertical="center"/>
    </xf>
    <xf numFmtId="0" fontId="11" fillId="0" borderId="26" xfId="0" applyFont="1" applyFill="1" applyBorder="1" applyAlignment="1" applyProtection="1">
      <alignment horizontal="center" vertical="center" wrapText="1"/>
    </xf>
    <xf numFmtId="176" fontId="8" fillId="0" borderId="27" xfId="51" applyNumberFormat="1" applyFont="1" applyFill="1" applyBorder="1" applyAlignment="1">
      <alignment horizontal="left" vertical="center"/>
    </xf>
    <xf numFmtId="0" fontId="11" fillId="0" borderId="16" xfId="53" applyFont="1" applyFill="1" applyBorder="1" applyAlignment="1">
      <alignment horizontal="left" vertical="center" wrapText="1"/>
    </xf>
    <xf numFmtId="0" fontId="11" fillId="0" borderId="28" xfId="0" applyFont="1" applyFill="1" applyBorder="1" applyAlignment="1" applyProtection="1">
      <alignment horizontal="center" vertical="center" wrapText="1"/>
    </xf>
    <xf numFmtId="176" fontId="18" fillId="0" borderId="27" xfId="51" applyNumberFormat="1" applyFont="1" applyFill="1" applyBorder="1" applyAlignment="1">
      <alignment horizontal="left" vertical="center"/>
    </xf>
    <xf numFmtId="176" fontId="18" fillId="0" borderId="15" xfId="51" applyNumberFormat="1" applyFont="1" applyFill="1" applyBorder="1" applyAlignment="1">
      <alignment horizontal="left" vertical="center"/>
    </xf>
    <xf numFmtId="0" fontId="16" fillId="0" borderId="15" xfId="0" applyFont="1" applyFill="1" applyBorder="1" applyAlignment="1">
      <alignment horizontal="left" vertical="center"/>
    </xf>
    <xf numFmtId="0" fontId="11" fillId="0" borderId="15" xfId="0" applyFont="1" applyFill="1" applyBorder="1" applyAlignment="1" applyProtection="1">
      <alignment horizontal="left" vertical="center"/>
    </xf>
    <xf numFmtId="187" fontId="11" fillId="0" borderId="15" xfId="1" applyNumberFormat="1" applyFont="1" applyFill="1" applyBorder="1" applyAlignment="1">
      <alignment horizontal="center" vertical="center"/>
    </xf>
    <xf numFmtId="182" fontId="11" fillId="0" borderId="15" xfId="0" applyNumberFormat="1" applyFont="1" applyFill="1" applyBorder="1">
      <alignment vertical="center"/>
    </xf>
    <xf numFmtId="43" fontId="11" fillId="0" borderId="15" xfId="0" applyNumberFormat="1" applyFont="1" applyFill="1" applyBorder="1">
      <alignment vertical="center"/>
    </xf>
    <xf numFmtId="0" fontId="11" fillId="0" borderId="16" xfId="0" applyFont="1" applyFill="1" applyBorder="1">
      <alignment vertical="center"/>
    </xf>
    <xf numFmtId="182" fontId="11" fillId="0" borderId="33" xfId="1" applyNumberFormat="1" applyFont="1" applyFill="1" applyBorder="1" applyAlignment="1">
      <alignment vertical="center" wrapText="1"/>
    </xf>
    <xf numFmtId="1" fontId="11" fillId="0" borderId="33" xfId="0" applyNumberFormat="1" applyFont="1" applyFill="1" applyBorder="1" applyAlignment="1">
      <alignment horizontal="center" vertical="center" wrapText="1"/>
    </xf>
    <xf numFmtId="187" fontId="11" fillId="0" borderId="15" xfId="0" applyNumberFormat="1" applyFont="1" applyFill="1" applyBorder="1" applyAlignment="1">
      <alignment horizontal="center" vertical="center"/>
    </xf>
    <xf numFmtId="188" fontId="11" fillId="0" borderId="15" xfId="0" applyNumberFormat="1" applyFont="1" applyFill="1" applyBorder="1" applyAlignment="1">
      <alignment horizontal="center" vertical="center"/>
    </xf>
    <xf numFmtId="188" fontId="11" fillId="0" borderId="30" xfId="0" applyNumberFormat="1" applyFont="1" applyFill="1" applyBorder="1" applyAlignment="1">
      <alignment horizontal="center" vertical="center"/>
    </xf>
    <xf numFmtId="189" fontId="11" fillId="0" borderId="33" xfId="0" applyNumberFormat="1" applyFont="1" applyFill="1" applyBorder="1" applyAlignment="1">
      <alignment horizontal="center" vertical="center" wrapText="1"/>
    </xf>
    <xf numFmtId="43" fontId="1" fillId="0" borderId="16" xfId="53" applyNumberFormat="1" applyFont="1" applyFill="1" applyBorder="1">
      <alignment vertical="center"/>
    </xf>
    <xf numFmtId="0" fontId="1" fillId="0" borderId="16" xfId="53" applyFont="1" applyFill="1" applyBorder="1">
      <alignment vertical="center"/>
    </xf>
    <xf numFmtId="0" fontId="16" fillId="0" borderId="23" xfId="53" applyFont="1" applyFill="1" applyBorder="1" applyAlignment="1">
      <alignment horizontal="left" vertical="center"/>
    </xf>
    <xf numFmtId="0" fontId="16" fillId="0" borderId="23" xfId="53" applyFont="1" applyFill="1" applyBorder="1">
      <alignment vertical="center"/>
    </xf>
    <xf numFmtId="0" fontId="1" fillId="0" borderId="23" xfId="53" applyFont="1" applyFill="1" applyBorder="1">
      <alignment vertical="center"/>
    </xf>
    <xf numFmtId="43" fontId="1" fillId="0" borderId="23" xfId="53" applyNumberFormat="1" applyFont="1" applyFill="1" applyBorder="1">
      <alignment vertical="center"/>
    </xf>
    <xf numFmtId="0" fontId="11" fillId="0" borderId="31" xfId="53" applyFont="1" applyFill="1" applyBorder="1" applyAlignment="1">
      <alignment vertical="center" wrapText="1"/>
    </xf>
    <xf numFmtId="0" fontId="16" fillId="0" borderId="0" xfId="53" applyFont="1" applyFill="1" applyBorder="1">
      <alignment vertical="center"/>
    </xf>
    <xf numFmtId="43" fontId="1" fillId="0" borderId="0" xfId="53" applyNumberFormat="1" applyFont="1" applyFill="1" applyBorder="1">
      <alignment vertical="center"/>
    </xf>
    <xf numFmtId="0" fontId="1" fillId="0" borderId="0" xfId="53" applyFont="1" applyFill="1" applyBorder="1">
      <alignment vertical="center"/>
    </xf>
    <xf numFmtId="43" fontId="1" fillId="0" borderId="0" xfId="53" applyNumberFormat="1" applyFont="1" applyFill="1">
      <alignment vertical="center"/>
    </xf>
    <xf numFmtId="0" fontId="16" fillId="0" borderId="0" xfId="53" applyFont="1" applyFill="1" applyAlignment="1">
      <alignment horizontal="right" vertical="center"/>
    </xf>
    <xf numFmtId="0" fontId="1" fillId="0" borderId="0" xfId="53" applyFont="1" applyFill="1" applyAlignment="1" applyProtection="1">
      <alignment horizontal="left" vertical="center"/>
    </xf>
    <xf numFmtId="0" fontId="1" fillId="0" borderId="0" xfId="53" applyFont="1" applyFill="1" applyProtection="1">
      <alignment vertical="center"/>
    </xf>
    <xf numFmtId="0" fontId="16" fillId="0" borderId="0" xfId="53" applyFont="1" applyFill="1" applyProtection="1">
      <alignment vertical="center"/>
    </xf>
    <xf numFmtId="0" fontId="16" fillId="0" borderId="0" xfId="53" applyFont="1" applyFill="1" applyAlignment="1" applyProtection="1">
      <alignment horizontal="center" vertical="center"/>
    </xf>
    <xf numFmtId="43" fontId="1" fillId="0" borderId="0" xfId="53" applyNumberFormat="1" applyFont="1" applyFill="1" applyProtection="1">
      <alignment vertical="center"/>
    </xf>
    <xf numFmtId="43" fontId="1" fillId="0" borderId="0" xfId="1" applyNumberFormat="1" applyFont="1" applyFill="1" applyProtection="1">
      <alignment vertical="center"/>
    </xf>
    <xf numFmtId="43" fontId="1" fillId="0" borderId="0" xfId="1" applyFont="1" applyFill="1" applyProtection="1">
      <alignment vertical="center"/>
    </xf>
    <xf numFmtId="0" fontId="13" fillId="0" borderId="0" xfId="53" applyFont="1" applyFill="1" applyAlignment="1" applyProtection="1">
      <alignment horizontal="left" vertical="center"/>
    </xf>
    <xf numFmtId="0" fontId="5" fillId="0" borderId="0" xfId="53" applyFont="1" applyFill="1" applyAlignment="1" applyProtection="1">
      <alignment horizontal="left" vertical="center"/>
    </xf>
    <xf numFmtId="0" fontId="5" fillId="0" borderId="0" xfId="53" applyFont="1" applyFill="1" applyAlignment="1" applyProtection="1">
      <alignment horizontal="center" vertical="center"/>
    </xf>
    <xf numFmtId="43" fontId="1" fillId="0" borderId="0" xfId="53" applyNumberFormat="1" applyFont="1" applyFill="1" applyAlignment="1" applyProtection="1">
      <alignment horizontal="left" vertical="center"/>
    </xf>
    <xf numFmtId="43" fontId="1" fillId="0" borderId="0" xfId="1" applyNumberFormat="1" applyFont="1" applyFill="1" applyAlignment="1" applyProtection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3" fillId="0" borderId="34" xfId="53" applyFont="1" applyFill="1" applyBorder="1" applyAlignment="1" applyProtection="1">
      <alignment horizontal="center" vertical="center" wrapText="1"/>
    </xf>
    <xf numFmtId="0" fontId="3" fillId="0" borderId="11" xfId="53" applyFont="1" applyFill="1" applyBorder="1" applyAlignment="1" applyProtection="1">
      <alignment horizontal="center" vertical="center" wrapText="1"/>
    </xf>
    <xf numFmtId="190" fontId="3" fillId="0" borderId="34" xfId="53" applyNumberFormat="1" applyFont="1" applyFill="1" applyBorder="1" applyAlignment="1" applyProtection="1">
      <alignment horizontal="center" vertical="center" wrapText="1"/>
    </xf>
    <xf numFmtId="190" fontId="3" fillId="0" borderId="11" xfId="53" applyNumberFormat="1" applyFont="1" applyFill="1" applyBorder="1" applyAlignment="1" applyProtection="1">
      <alignment horizontal="center" vertical="center" wrapText="1"/>
    </xf>
    <xf numFmtId="0" fontId="11" fillId="0" borderId="35" xfId="53" applyFont="1" applyFill="1" applyBorder="1" applyAlignment="1" applyProtection="1">
      <alignment horizontal="center" vertical="center" wrapText="1"/>
    </xf>
    <xf numFmtId="0" fontId="11" fillId="0" borderId="32" xfId="53" applyFont="1" applyFill="1" applyBorder="1" applyAlignment="1" applyProtection="1">
      <alignment horizontal="center" vertical="center" wrapText="1"/>
    </xf>
    <xf numFmtId="43" fontId="11" fillId="0" borderId="35" xfId="53" applyNumberFormat="1" applyFont="1" applyFill="1" applyBorder="1" applyAlignment="1" applyProtection="1">
      <alignment horizontal="center" vertical="center" wrapText="1"/>
    </xf>
    <xf numFmtId="43" fontId="11" fillId="0" borderId="32" xfId="53" applyNumberFormat="1" applyFont="1" applyFill="1" applyBorder="1" applyAlignment="1" applyProtection="1">
      <alignment horizontal="center" vertical="center" wrapText="1"/>
    </xf>
    <xf numFmtId="43" fontId="11" fillId="0" borderId="26" xfId="53" applyNumberFormat="1" applyFont="1" applyFill="1" applyBorder="1" applyAlignment="1" applyProtection="1">
      <alignment horizontal="center" vertical="center" wrapText="1"/>
    </xf>
    <xf numFmtId="0" fontId="11" fillId="0" borderId="21" xfId="53" applyFont="1" applyFill="1" applyBorder="1" applyAlignment="1" applyProtection="1">
      <alignment horizontal="center" vertical="center" wrapText="1"/>
    </xf>
    <xf numFmtId="0" fontId="11" fillId="0" borderId="27" xfId="53" applyFont="1" applyFill="1" applyBorder="1" applyAlignment="1" applyProtection="1">
      <alignment horizontal="center" vertical="center"/>
    </xf>
    <xf numFmtId="191" fontId="11" fillId="0" borderId="15" xfId="53" applyNumberFormat="1" applyFont="1" applyFill="1" applyBorder="1" applyAlignment="1" applyProtection="1">
      <alignment horizontal="left" vertical="center"/>
    </xf>
    <xf numFmtId="43" fontId="11" fillId="0" borderId="27" xfId="53" applyNumberFormat="1" applyFont="1" applyFill="1" applyBorder="1" applyAlignment="1" applyProtection="1">
      <alignment horizontal="center" vertical="center"/>
    </xf>
    <xf numFmtId="43" fontId="11" fillId="0" borderId="15" xfId="53" applyNumberFormat="1" applyFont="1" applyFill="1" applyBorder="1" applyAlignment="1" applyProtection="1">
      <alignment horizontal="left" vertical="center"/>
    </xf>
    <xf numFmtId="43" fontId="11" fillId="0" borderId="28" xfId="53" applyNumberFormat="1" applyFont="1" applyFill="1" applyBorder="1" applyAlignment="1" applyProtection="1">
      <alignment horizontal="center" vertical="center" wrapText="1"/>
    </xf>
    <xf numFmtId="0" fontId="11" fillId="0" borderId="33" xfId="53" applyFont="1" applyFill="1" applyBorder="1" applyAlignment="1" applyProtection="1">
      <alignment horizontal="center" vertical="center" wrapText="1"/>
    </xf>
    <xf numFmtId="0" fontId="11" fillId="0" borderId="36" xfId="53" applyFont="1" applyFill="1" applyBorder="1" applyAlignment="1" applyProtection="1">
      <alignment horizontal="center" vertical="center" wrapText="1"/>
    </xf>
    <xf numFmtId="0" fontId="1" fillId="0" borderId="27" xfId="0" applyFont="1" applyFill="1" applyBorder="1" applyAlignment="1" applyProtection="1">
      <alignment horizontal="left" vertical="center"/>
    </xf>
    <xf numFmtId="0" fontId="2" fillId="0" borderId="15" xfId="51" applyNumberFormat="1" applyFont="1" applyFill="1" applyBorder="1" applyAlignment="1" applyProtection="1">
      <alignment horizontal="left" vertical="center" wrapText="1"/>
    </xf>
    <xf numFmtId="191" fontId="11" fillId="0" borderId="15" xfId="0" applyNumberFormat="1" applyFont="1" applyFill="1" applyBorder="1" applyAlignment="1" applyProtection="1">
      <alignment horizontal="left" vertical="center"/>
    </xf>
    <xf numFmtId="192" fontId="11" fillId="0" borderId="27" xfId="0" applyNumberFormat="1" applyFont="1" applyFill="1" applyBorder="1" applyAlignment="1" applyProtection="1">
      <alignment horizontal="left" vertical="center"/>
    </xf>
    <xf numFmtId="193" fontId="11" fillId="0" borderId="27" xfId="0" applyNumberFormat="1" applyFont="1" applyFill="1" applyBorder="1" applyAlignment="1" applyProtection="1">
      <alignment horizontal="left" vertical="center"/>
    </xf>
    <xf numFmtId="43" fontId="11" fillId="0" borderId="15" xfId="1" applyNumberFormat="1" applyFont="1" applyFill="1" applyBorder="1" applyAlignment="1" applyProtection="1">
      <alignment horizontal="left" vertical="center"/>
    </xf>
    <xf numFmtId="43" fontId="11" fillId="0" borderId="15" xfId="0" applyNumberFormat="1" applyFont="1" applyFill="1" applyBorder="1" applyAlignment="1" applyProtection="1">
      <alignment horizontal="left" vertical="center"/>
    </xf>
    <xf numFmtId="43" fontId="2" fillId="0" borderId="16" xfId="0" applyNumberFormat="1" applyFont="1" applyFill="1" applyBorder="1" applyProtection="1">
      <alignment vertical="center"/>
    </xf>
    <xf numFmtId="0" fontId="11" fillId="0" borderId="33" xfId="0" applyFont="1" applyFill="1" applyBorder="1" applyAlignment="1" applyProtection="1">
      <alignment horizontal="left" vertical="center" wrapText="1"/>
    </xf>
    <xf numFmtId="0" fontId="11" fillId="0" borderId="33" xfId="0" applyFont="1" applyFill="1" applyBorder="1" applyAlignment="1" applyProtection="1">
      <alignment horizontal="left" vertical="center"/>
    </xf>
    <xf numFmtId="191" fontId="11" fillId="0" borderId="15" xfId="0" applyNumberFormat="1" applyFont="1" applyFill="1" applyBorder="1" applyAlignment="1">
      <alignment horizontal="center" vertical="center"/>
    </xf>
    <xf numFmtId="43" fontId="2" fillId="0" borderId="16" xfId="1" applyNumberFormat="1" applyFont="1" applyFill="1" applyBorder="1" applyProtection="1">
      <alignment vertical="center"/>
    </xf>
    <xf numFmtId="0" fontId="1" fillId="0" borderId="27" xfId="53" applyFont="1" applyFill="1" applyBorder="1" applyAlignment="1" applyProtection="1">
      <alignment horizontal="left" vertical="center"/>
    </xf>
    <xf numFmtId="0" fontId="11" fillId="0" borderId="15" xfId="53" applyNumberFormat="1" applyFont="1" applyFill="1" applyBorder="1" applyAlignment="1" applyProtection="1">
      <alignment horizontal="left" vertical="center"/>
    </xf>
    <xf numFmtId="0" fontId="11" fillId="0" borderId="15" xfId="53" applyFont="1" applyFill="1" applyBorder="1" applyAlignment="1" applyProtection="1">
      <alignment horizontal="left" vertical="center"/>
    </xf>
    <xf numFmtId="192" fontId="11" fillId="0" borderId="15" xfId="53" applyNumberFormat="1" applyFont="1" applyFill="1" applyBorder="1" applyAlignment="1" applyProtection="1">
      <alignment horizontal="left" vertical="center"/>
    </xf>
    <xf numFmtId="43" fontId="1" fillId="0" borderId="16" xfId="1" applyNumberFormat="1" applyFont="1" applyFill="1" applyBorder="1" applyProtection="1">
      <alignment vertical="center"/>
    </xf>
    <xf numFmtId="0" fontId="19" fillId="0" borderId="37" xfId="53" applyFont="1" applyFill="1" applyBorder="1" applyAlignment="1" applyProtection="1">
      <alignment horizontal="center" vertical="center"/>
    </xf>
    <xf numFmtId="0" fontId="19" fillId="0" borderId="37" xfId="53" applyFont="1" applyFill="1" applyBorder="1" applyAlignment="1" applyProtection="1">
      <alignment horizontal="left" vertical="center"/>
    </xf>
    <xf numFmtId="0" fontId="11" fillId="0" borderId="37" xfId="53" applyFont="1" applyFill="1" applyBorder="1" applyAlignment="1" applyProtection="1">
      <alignment horizontal="left" vertical="center"/>
    </xf>
    <xf numFmtId="43" fontId="11" fillId="0" borderId="38" xfId="1" applyFont="1" applyFill="1" applyBorder="1" applyAlignment="1" applyProtection="1">
      <alignment horizontal="center" vertical="center"/>
    </xf>
    <xf numFmtId="0" fontId="11" fillId="0" borderId="38" xfId="53" applyFont="1" applyFill="1" applyBorder="1" applyProtection="1">
      <alignment vertical="center"/>
    </xf>
    <xf numFmtId="43" fontId="11" fillId="0" borderId="38" xfId="1" applyNumberFormat="1" applyFont="1" applyFill="1" applyBorder="1" applyProtection="1">
      <alignment vertical="center"/>
    </xf>
    <xf numFmtId="43" fontId="11" fillId="0" borderId="39" xfId="1" applyNumberFormat="1" applyFont="1" applyFill="1" applyBorder="1" applyAlignment="1" applyProtection="1">
      <alignment vertical="center"/>
    </xf>
    <xf numFmtId="43" fontId="11" fillId="0" borderId="40" xfId="1" applyNumberFormat="1" applyFont="1" applyFill="1" applyBorder="1" applyProtection="1">
      <alignment vertical="center"/>
    </xf>
    <xf numFmtId="43" fontId="11" fillId="0" borderId="40" xfId="1" applyFont="1" applyFill="1" applyBorder="1" applyProtection="1">
      <alignment vertical="center"/>
    </xf>
    <xf numFmtId="0" fontId="3" fillId="0" borderId="41" xfId="53" applyFont="1" applyFill="1" applyBorder="1" applyAlignment="1" applyProtection="1">
      <alignment horizontal="left" vertical="center"/>
    </xf>
    <xf numFmtId="0" fontId="19" fillId="0" borderId="0" xfId="53" applyFont="1" applyFill="1" applyBorder="1" applyAlignment="1" applyProtection="1">
      <alignment horizontal="left" vertical="center"/>
    </xf>
    <xf numFmtId="43" fontId="19" fillId="0" borderId="0" xfId="53" applyNumberFormat="1" applyFont="1" applyFill="1" applyBorder="1" applyAlignment="1" applyProtection="1">
      <alignment horizontal="left" vertical="center"/>
    </xf>
    <xf numFmtId="43" fontId="16" fillId="0" borderId="41" xfId="1" applyNumberFormat="1" applyFont="1" applyFill="1" applyBorder="1" applyProtection="1">
      <alignment vertical="center"/>
    </xf>
    <xf numFmtId="0" fontId="16" fillId="0" borderId="41" xfId="53" applyFont="1" applyFill="1" applyBorder="1" applyProtection="1">
      <alignment vertical="center"/>
    </xf>
    <xf numFmtId="43" fontId="16" fillId="0" borderId="41" xfId="1" applyFont="1" applyFill="1" applyBorder="1" applyProtection="1">
      <alignment vertical="center"/>
    </xf>
    <xf numFmtId="0" fontId="1" fillId="0" borderId="42" xfId="0" applyFont="1" applyFill="1" applyBorder="1" applyAlignment="1" applyProtection="1">
      <alignment horizontal="left" vertical="center"/>
    </xf>
    <xf numFmtId="0" fontId="11" fillId="0" borderId="15" xfId="0" applyFont="1" applyFill="1" applyBorder="1" applyProtection="1">
      <alignment vertical="center"/>
    </xf>
    <xf numFmtId="192" fontId="11" fillId="0" borderId="15" xfId="0" applyNumberFormat="1" applyFont="1" applyFill="1" applyBorder="1" applyProtection="1">
      <alignment vertical="center"/>
    </xf>
    <xf numFmtId="187" fontId="11" fillId="0" borderId="15" xfId="1" applyNumberFormat="1" applyFont="1" applyFill="1" applyBorder="1" applyProtection="1">
      <alignment vertical="center"/>
    </xf>
    <xf numFmtId="43" fontId="1" fillId="0" borderId="16" xfId="0" applyNumberFormat="1" applyFont="1" applyFill="1" applyBorder="1" applyProtection="1">
      <alignment vertical="center"/>
    </xf>
    <xf numFmtId="0" fontId="1" fillId="0" borderId="16" xfId="0" applyFont="1" applyFill="1" applyBorder="1" applyProtection="1">
      <alignment vertical="center"/>
    </xf>
    <xf numFmtId="0" fontId="1" fillId="0" borderId="16" xfId="0" applyFont="1" applyFill="1" applyBorder="1" applyAlignment="1" applyProtection="1">
      <alignment horizontal="left" vertical="center"/>
    </xf>
    <xf numFmtId="192" fontId="11" fillId="0" borderId="28" xfId="53" applyNumberFormat="1" applyFont="1" applyFill="1" applyBorder="1" applyAlignment="1" applyProtection="1">
      <alignment horizontal="left" vertical="center"/>
    </xf>
    <xf numFmtId="191" fontId="11" fillId="0" borderId="28" xfId="53" applyNumberFormat="1" applyFont="1" applyFill="1" applyBorder="1" applyProtection="1">
      <alignment vertical="center"/>
    </xf>
    <xf numFmtId="192" fontId="11" fillId="0" borderId="28" xfId="53" applyNumberFormat="1" applyFont="1" applyFill="1" applyBorder="1" applyProtection="1">
      <alignment vertical="center"/>
    </xf>
    <xf numFmtId="43" fontId="1" fillId="0" borderId="33" xfId="53" applyNumberFormat="1" applyFont="1" applyFill="1" applyBorder="1" applyAlignment="1" applyProtection="1">
      <alignment vertical="center"/>
    </xf>
    <xf numFmtId="0" fontId="1" fillId="0" borderId="33" xfId="53" applyFont="1" applyFill="1" applyBorder="1" applyProtection="1">
      <alignment vertical="center"/>
    </xf>
    <xf numFmtId="0" fontId="11" fillId="0" borderId="27" xfId="53" applyFont="1" applyFill="1" applyBorder="1" applyAlignment="1" applyProtection="1">
      <alignment horizontal="left" vertical="center"/>
    </xf>
    <xf numFmtId="0" fontId="11" fillId="0" borderId="15" xfId="53" applyFont="1" applyFill="1" applyBorder="1" applyProtection="1">
      <alignment vertical="center"/>
    </xf>
    <xf numFmtId="184" fontId="11" fillId="0" borderId="15" xfId="53" applyNumberFormat="1" applyFont="1" applyFill="1" applyBorder="1" applyProtection="1">
      <alignment vertical="center"/>
    </xf>
    <xf numFmtId="192" fontId="11" fillId="0" borderId="15" xfId="53" applyNumberFormat="1" applyFont="1" applyFill="1" applyBorder="1" applyProtection="1">
      <alignment vertical="center"/>
    </xf>
    <xf numFmtId="43" fontId="11" fillId="0" borderId="15" xfId="53" applyNumberFormat="1" applyFont="1" applyFill="1" applyBorder="1" applyProtection="1">
      <alignment vertical="center"/>
    </xf>
    <xf numFmtId="43" fontId="1" fillId="0" borderId="16" xfId="53" applyNumberFormat="1" applyFont="1" applyFill="1" applyBorder="1" applyProtection="1">
      <alignment vertical="center"/>
    </xf>
    <xf numFmtId="0" fontId="1" fillId="0" borderId="16" xfId="53" applyFont="1" applyFill="1" applyBorder="1" applyProtection="1">
      <alignment vertical="center"/>
    </xf>
    <xf numFmtId="0" fontId="16" fillId="0" borderId="37" xfId="53" applyFont="1" applyFill="1" applyBorder="1" applyAlignment="1" applyProtection="1">
      <alignment horizontal="left" vertical="center"/>
    </xf>
    <xf numFmtId="43" fontId="11" fillId="0" borderId="38" xfId="1" applyFont="1" applyFill="1" applyBorder="1" applyAlignment="1" applyProtection="1">
      <alignment vertical="center"/>
    </xf>
    <xf numFmtId="0" fontId="11" fillId="0" borderId="37" xfId="53" applyFont="1" applyFill="1" applyBorder="1" applyProtection="1">
      <alignment vertical="center"/>
    </xf>
    <xf numFmtId="43" fontId="11" fillId="0" borderId="38" xfId="1" applyFont="1" applyFill="1" applyBorder="1" applyProtection="1">
      <alignment vertical="center"/>
    </xf>
    <xf numFmtId="43" fontId="16" fillId="0" borderId="37" xfId="53" applyNumberFormat="1" applyFont="1" applyFill="1" applyBorder="1" applyAlignment="1" applyProtection="1">
      <alignment horizontal="left" vertical="center"/>
    </xf>
    <xf numFmtId="43" fontId="11" fillId="0" borderId="38" xfId="1" applyNumberFormat="1" applyFont="1" applyFill="1" applyBorder="1" applyAlignment="1" applyProtection="1">
      <alignment vertical="center"/>
    </xf>
    <xf numFmtId="43" fontId="11" fillId="0" borderId="37" xfId="1" applyNumberFormat="1" applyFont="1" applyFill="1" applyBorder="1" applyProtection="1">
      <alignment vertical="center"/>
    </xf>
    <xf numFmtId="43" fontId="11" fillId="0" borderId="37" xfId="1" applyFont="1" applyFill="1" applyBorder="1" applyProtection="1">
      <alignment vertical="center"/>
    </xf>
    <xf numFmtId="43" fontId="16" fillId="0" borderId="0" xfId="53" applyNumberFormat="1" applyFont="1" applyFill="1" applyProtection="1">
      <alignment vertical="center"/>
    </xf>
    <xf numFmtId="43" fontId="16" fillId="0" borderId="0" xfId="1" applyNumberFormat="1" applyFont="1" applyFill="1" applyProtection="1">
      <alignment vertical="center"/>
    </xf>
    <xf numFmtId="43" fontId="16" fillId="0" borderId="0" xfId="1" applyFont="1" applyFill="1" applyProtection="1">
      <alignment vertical="center"/>
    </xf>
    <xf numFmtId="43" fontId="16" fillId="0" borderId="0" xfId="1" applyFont="1" applyFill="1" applyAlignment="1" applyProtection="1">
      <alignment horizontal="right" vertical="center"/>
    </xf>
    <xf numFmtId="182" fontId="16" fillId="0" borderId="0" xfId="1" applyNumberFormat="1" applyFont="1" applyFill="1" applyProtection="1">
      <alignment vertical="center"/>
    </xf>
    <xf numFmtId="0" fontId="16" fillId="0" borderId="0" xfId="53" applyFont="1" applyFill="1" applyAlignment="1" applyProtection="1">
      <alignment vertical="center"/>
    </xf>
    <xf numFmtId="0" fontId="1" fillId="0" borderId="0" xfId="0" applyFont="1">
      <alignment vertical="center"/>
    </xf>
    <xf numFmtId="0" fontId="20" fillId="0" borderId="0" xfId="0" applyFont="1">
      <alignment vertical="center"/>
    </xf>
    <xf numFmtId="0" fontId="21" fillId="3" borderId="43" xfId="0" applyFont="1" applyFill="1" applyBorder="1" applyAlignment="1">
      <alignment horizontal="center" vertical="center" wrapText="1"/>
    </xf>
    <xf numFmtId="0" fontId="22" fillId="3" borderId="43" xfId="0" applyFont="1" applyFill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9" fontId="23" fillId="0" borderId="43" xfId="0" applyNumberFormat="1" applyFont="1" applyBorder="1" applyAlignment="1">
      <alignment horizontal="center" vertical="center" wrapText="1"/>
    </xf>
    <xf numFmtId="9" fontId="23" fillId="0" borderId="43" xfId="0" applyNumberFormat="1" applyFont="1" applyFill="1" applyBorder="1" applyAlignment="1">
      <alignment horizontal="center" vertical="center" wrapText="1"/>
    </xf>
    <xf numFmtId="0" fontId="23" fillId="4" borderId="43" xfId="0" applyFont="1" applyFill="1" applyBorder="1" applyAlignment="1">
      <alignment horizontal="center" vertical="center" wrapText="1"/>
    </xf>
    <xf numFmtId="0" fontId="22" fillId="3" borderId="44" xfId="0" applyFont="1" applyFill="1" applyBorder="1" applyAlignment="1">
      <alignment horizontal="center" vertical="center" wrapText="1"/>
    </xf>
    <xf numFmtId="0" fontId="21" fillId="3" borderId="44" xfId="0" applyFont="1" applyFill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9" fontId="23" fillId="0" borderId="44" xfId="0" applyNumberFormat="1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24" fillId="0" borderId="0" xfId="0" applyFont="1">
      <alignment vertical="center"/>
    </xf>
    <xf numFmtId="0" fontId="25" fillId="5" borderId="45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center" vertical="center" wrapText="1"/>
    </xf>
    <xf numFmtId="0" fontId="25" fillId="5" borderId="36" xfId="0" applyFont="1" applyFill="1" applyBorder="1" applyAlignment="1">
      <alignment horizontal="left" vertical="center"/>
    </xf>
    <xf numFmtId="49" fontId="25" fillId="5" borderId="36" xfId="0" applyNumberFormat="1" applyFont="1" applyFill="1" applyBorder="1" applyAlignment="1">
      <alignment horizontal="center" vertical="center"/>
    </xf>
    <xf numFmtId="185" fontId="25" fillId="5" borderId="36" xfId="0" applyNumberFormat="1" applyFont="1" applyFill="1" applyBorder="1" applyAlignment="1">
      <alignment horizontal="center" vertical="center"/>
    </xf>
    <xf numFmtId="194" fontId="25" fillId="5" borderId="36" xfId="0" applyNumberFormat="1" applyFont="1" applyFill="1" applyBorder="1" applyAlignment="1">
      <alignment horizontal="center" vertical="center"/>
    </xf>
    <xf numFmtId="194" fontId="26" fillId="5" borderId="46" xfId="3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9" fontId="0" fillId="0" borderId="0" xfId="0" applyNumberFormat="1">
      <alignment vertical="center"/>
    </xf>
    <xf numFmtId="0" fontId="11" fillId="0" borderId="36" xfId="0" applyFont="1" applyBorder="1">
      <alignment vertical="center"/>
    </xf>
    <xf numFmtId="49" fontId="27" fillId="0" borderId="36" xfId="0" applyNumberFormat="1" applyFont="1" applyBorder="1" applyAlignment="1">
      <alignment horizontal="left" vertical="center"/>
    </xf>
    <xf numFmtId="194" fontId="28" fillId="0" borderId="36" xfId="3" applyNumberFormat="1" applyFont="1" applyFill="1" applyBorder="1" applyAlignment="1">
      <alignment horizontal="center" vertical="center"/>
    </xf>
    <xf numFmtId="43" fontId="28" fillId="0" borderId="36" xfId="3" applyNumberFormat="1" applyFont="1" applyFill="1" applyBorder="1" applyAlignment="1">
      <alignment horizontal="center" vertical="center"/>
    </xf>
    <xf numFmtId="43" fontId="28" fillId="0" borderId="36" xfId="3" applyNumberFormat="1" applyFont="1" applyFill="1" applyBorder="1" applyAlignment="1">
      <alignment vertical="center"/>
    </xf>
    <xf numFmtId="0" fontId="11" fillId="0" borderId="46" xfId="0" applyFont="1" applyBorder="1">
      <alignment vertical="center"/>
    </xf>
    <xf numFmtId="49" fontId="27" fillId="0" borderId="46" xfId="0" applyNumberFormat="1" applyFont="1" applyBorder="1" applyAlignment="1">
      <alignment horizontal="left" vertical="center"/>
    </xf>
    <xf numFmtId="194" fontId="28" fillId="0" borderId="46" xfId="3" applyNumberFormat="1" applyFont="1" applyFill="1" applyBorder="1" applyAlignment="1">
      <alignment horizontal="center" vertical="center"/>
    </xf>
    <xf numFmtId="43" fontId="28" fillId="0" borderId="46" xfId="3" applyNumberFormat="1" applyFont="1" applyFill="1" applyBorder="1" applyAlignment="1">
      <alignment horizontal="center" vertical="center"/>
    </xf>
    <xf numFmtId="43" fontId="28" fillId="0" borderId="46" xfId="3" applyNumberFormat="1" applyFont="1" applyFill="1" applyBorder="1" applyAlignment="1">
      <alignment vertical="center"/>
    </xf>
    <xf numFmtId="0" fontId="25" fillId="5" borderId="36" xfId="0" applyFont="1" applyFill="1" applyBorder="1" applyAlignment="1">
      <alignment horizontal="center" vertical="center"/>
    </xf>
    <xf numFmtId="0" fontId="11" fillId="0" borderId="0" xfId="0" applyFont="1" applyBorder="1">
      <alignment vertical="center"/>
    </xf>
    <xf numFmtId="194" fontId="29" fillId="0" borderId="36" xfId="3" applyNumberFormat="1" applyFont="1" applyFill="1" applyBorder="1" applyAlignment="1">
      <alignment horizontal="center" vertical="center" wrapText="1"/>
    </xf>
    <xf numFmtId="194" fontId="29" fillId="0" borderId="46" xfId="3" applyNumberFormat="1" applyFont="1" applyFill="1" applyBorder="1" applyAlignment="1">
      <alignment horizontal="center" vertical="center" wrapText="1"/>
    </xf>
    <xf numFmtId="49" fontId="28" fillId="0" borderId="46" xfId="0" applyNumberFormat="1" applyFont="1" applyBorder="1" applyAlignment="1">
      <alignment horizontal="left" vertical="center"/>
    </xf>
    <xf numFmtId="194" fontId="28" fillId="0" borderId="46" xfId="3" applyNumberFormat="1" applyFont="1" applyFill="1" applyBorder="1" applyAlignment="1">
      <alignment horizontal="center" vertical="center" wrapText="1"/>
    </xf>
    <xf numFmtId="0" fontId="30" fillId="0" borderId="0" xfId="0" applyFont="1" applyBorder="1">
      <alignment vertical="center"/>
    </xf>
    <xf numFmtId="0" fontId="11" fillId="0" borderId="22" xfId="0" applyFont="1" applyBorder="1">
      <alignment vertical="center"/>
    </xf>
    <xf numFmtId="49" fontId="27" fillId="0" borderId="22" xfId="0" applyNumberFormat="1" applyFont="1" applyBorder="1" applyAlignment="1">
      <alignment horizontal="left" vertical="center"/>
    </xf>
    <xf numFmtId="194" fontId="28" fillId="0" borderId="22" xfId="3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1" fillId="0" borderId="1" xfId="69" applyFont="1" applyFill="1" applyBorder="1" applyAlignment="1">
      <alignment horizontal="center" vertical="center" readingOrder="1"/>
    </xf>
    <xf numFmtId="0" fontId="31" fillId="6" borderId="1" xfId="69" applyFont="1" applyFill="1" applyBorder="1" applyAlignment="1">
      <alignment horizontal="center" vertical="center" wrapText="1" readingOrder="1"/>
    </xf>
    <xf numFmtId="0" fontId="31" fillId="0" borderId="1" xfId="69" applyFont="1" applyFill="1" applyBorder="1" applyAlignment="1">
      <alignment horizontal="center" vertical="center" wrapText="1" readingOrder="1"/>
    </xf>
    <xf numFmtId="0" fontId="31" fillId="7" borderId="1" xfId="69" applyFont="1" applyFill="1" applyBorder="1" applyAlignment="1">
      <alignment horizontal="center" vertical="center" wrapText="1" readingOrder="1"/>
    </xf>
    <xf numFmtId="0" fontId="31" fillId="6" borderId="1" xfId="69" applyFont="1" applyFill="1" applyBorder="1" applyAlignment="1">
      <alignment horizontal="center" vertical="center" readingOrder="1"/>
    </xf>
    <xf numFmtId="0" fontId="31" fillId="7" borderId="1" xfId="69" applyFont="1" applyFill="1" applyBorder="1" applyAlignment="1">
      <alignment horizontal="center" vertical="center" readingOrder="1"/>
    </xf>
    <xf numFmtId="0" fontId="31" fillId="0" borderId="2" xfId="69" applyNumberFormat="1" applyFont="1" applyFill="1" applyBorder="1" applyAlignment="1">
      <alignment horizontal="center" vertical="center" readingOrder="1"/>
    </xf>
    <xf numFmtId="0" fontId="31" fillId="0" borderId="2" xfId="1" applyNumberFormat="1" applyFont="1" applyFill="1" applyBorder="1" applyAlignment="1">
      <alignment horizontal="center" vertical="center" readingOrder="1"/>
    </xf>
    <xf numFmtId="43" fontId="31" fillId="0" borderId="2" xfId="1" applyFont="1" applyFill="1" applyBorder="1" applyAlignment="1">
      <alignment horizontal="center" vertical="center" readingOrder="1"/>
    </xf>
    <xf numFmtId="2" fontId="1" fillId="6" borderId="2" xfId="0" applyNumberFormat="1" applyFont="1" applyFill="1" applyBorder="1" applyAlignment="1"/>
    <xf numFmtId="2" fontId="1" fillId="0" borderId="2" xfId="0" applyNumberFormat="1" applyFont="1" applyFill="1" applyBorder="1" applyAlignment="1"/>
    <xf numFmtId="2" fontId="1" fillId="6" borderId="2" xfId="0" applyNumberFormat="1" applyFont="1" applyFill="1" applyBorder="1" applyAlignment="1">
      <alignment horizontal="right"/>
    </xf>
    <xf numFmtId="2" fontId="1" fillId="6" borderId="3" xfId="0" applyNumberFormat="1" applyFont="1" applyFill="1" applyBorder="1" applyAlignment="1"/>
    <xf numFmtId="0" fontId="31" fillId="0" borderId="3" xfId="69" applyNumberFormat="1" applyFont="1" applyFill="1" applyBorder="1" applyAlignment="1">
      <alignment horizontal="center" vertical="center" readingOrder="1"/>
    </xf>
    <xf numFmtId="0" fontId="31" fillId="0" borderId="3" xfId="1" applyNumberFormat="1" applyFont="1" applyFill="1" applyBorder="1" applyAlignment="1">
      <alignment horizontal="center" vertical="center" readingOrder="1"/>
    </xf>
    <xf numFmtId="43" fontId="31" fillId="0" borderId="3" xfId="1" applyFont="1" applyFill="1" applyBorder="1" applyAlignment="1">
      <alignment horizontal="center" vertical="center" readingOrder="1"/>
    </xf>
    <xf numFmtId="2" fontId="1" fillId="0" borderId="3" xfId="0" applyNumberFormat="1" applyFont="1" applyFill="1" applyBorder="1" applyAlignment="1"/>
    <xf numFmtId="43" fontId="1" fillId="6" borderId="3" xfId="0" applyNumberFormat="1" applyFont="1" applyFill="1" applyBorder="1" applyAlignment="1">
      <alignment horizontal="right"/>
    </xf>
    <xf numFmtId="43" fontId="1" fillId="0" borderId="3" xfId="0" applyNumberFormat="1" applyFont="1" applyFill="1" applyBorder="1" applyAlignment="1"/>
    <xf numFmtId="43" fontId="31" fillId="0" borderId="3" xfId="1" applyNumberFormat="1" applyFont="1" applyFill="1" applyBorder="1" applyAlignment="1">
      <alignment horizontal="center" vertical="center" readingOrder="1"/>
    </xf>
    <xf numFmtId="43" fontId="1" fillId="6" borderId="3" xfId="0" applyNumberFormat="1" applyFont="1" applyFill="1" applyBorder="1" applyAlignment="1"/>
    <xf numFmtId="49" fontId="31" fillId="0" borderId="3" xfId="69" applyNumberFormat="1" applyFont="1" applyFill="1" applyBorder="1" applyAlignment="1">
      <alignment horizontal="center" vertical="center" readingOrder="1"/>
    </xf>
    <xf numFmtId="43" fontId="31" fillId="0" borderId="3" xfId="69" applyNumberFormat="1" applyFont="1" applyFill="1" applyBorder="1" applyAlignment="1">
      <alignment horizontal="center" vertical="center" readingOrder="1"/>
    </xf>
    <xf numFmtId="43" fontId="31" fillId="0" borderId="1" xfId="1" applyFont="1" applyFill="1" applyBorder="1" applyAlignment="1">
      <alignment horizontal="center" vertical="center" readingOrder="1"/>
    </xf>
    <xf numFmtId="43" fontId="31" fillId="6" borderId="1" xfId="1" applyFont="1" applyFill="1" applyBorder="1" applyAlignment="1">
      <alignment horizontal="center" vertical="center" readingOrder="1"/>
    </xf>
    <xf numFmtId="182" fontId="31" fillId="0" borderId="1" xfId="1" applyNumberFormat="1" applyFont="1" applyFill="1" applyBorder="1" applyAlignment="1">
      <alignment horizontal="center" vertical="center" readingOrder="1"/>
    </xf>
    <xf numFmtId="182" fontId="0" fillId="0" borderId="0" xfId="0" applyNumberFormat="1">
      <alignment vertical="center"/>
    </xf>
    <xf numFmtId="195" fontId="0" fillId="0" borderId="0" xfId="0" applyNumberFormat="1" applyAlignment="1">
      <alignment horizontal="center" vertical="center"/>
    </xf>
    <xf numFmtId="0" fontId="11" fillId="0" borderId="0" xfId="0" applyFont="1" applyFill="1">
      <alignment vertical="center"/>
    </xf>
    <xf numFmtId="0" fontId="11" fillId="0" borderId="0" xfId="0" applyFont="1" applyFill="1" applyAlignment="1">
      <alignment horizontal="right" vertical="center"/>
    </xf>
    <xf numFmtId="187" fontId="0" fillId="0" borderId="0" xfId="1" applyNumberFormat="1" applyFont="1">
      <alignment vertical="center"/>
    </xf>
    <xf numFmtId="0" fontId="15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13" fillId="0" borderId="0" xfId="0" applyFont="1" applyFill="1" applyAlignment="1">
      <alignment horizontal="right" vertical="center"/>
    </xf>
    <xf numFmtId="0" fontId="15" fillId="0" borderId="0" xfId="0" applyFont="1" applyFill="1" applyBorder="1">
      <alignment vertical="center"/>
    </xf>
    <xf numFmtId="196" fontId="14" fillId="0" borderId="0" xfId="0" applyNumberFormat="1" applyFont="1" applyFill="1" applyBorder="1">
      <alignment vertical="center"/>
    </xf>
    <xf numFmtId="0" fontId="14" fillId="0" borderId="0" xfId="0" applyFont="1" applyFill="1">
      <alignment vertical="center"/>
    </xf>
    <xf numFmtId="0" fontId="15" fillId="0" borderId="0" xfId="0" applyFont="1" applyFill="1" applyBorder="1" applyAlignment="1">
      <alignment horizontal="center" vertical="center" wrapText="1"/>
    </xf>
    <xf numFmtId="43" fontId="15" fillId="0" borderId="0" xfId="0" applyNumberFormat="1" applyFont="1" applyFill="1" applyBorder="1" applyAlignment="1">
      <alignment horizontal="right" vertical="center" wrapText="1"/>
    </xf>
    <xf numFmtId="0" fontId="15" fillId="0" borderId="0" xfId="0" applyFont="1" applyFill="1" applyAlignment="1">
      <alignment horizontal="center" vertical="center" wrapText="1"/>
    </xf>
    <xf numFmtId="0" fontId="15" fillId="0" borderId="22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right" vertical="center" wrapText="1"/>
    </xf>
    <xf numFmtId="0" fontId="14" fillId="0" borderId="22" xfId="0" applyFont="1" applyFill="1" applyBorder="1" applyAlignment="1">
      <alignment vertical="center" wrapText="1"/>
    </xf>
    <xf numFmtId="0" fontId="3" fillId="0" borderId="21" xfId="0" applyFont="1" applyFill="1" applyBorder="1" applyAlignment="1">
      <alignment horizontal="left" vertical="center" wrapText="1"/>
    </xf>
    <xf numFmtId="0" fontId="3" fillId="0" borderId="21" xfId="0" applyFont="1" applyFill="1" applyBorder="1" applyAlignment="1">
      <alignment horizontal="right" vertical="center" wrapText="1"/>
    </xf>
    <xf numFmtId="182" fontId="32" fillId="0" borderId="0" xfId="1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182" fontId="32" fillId="0" borderId="0" xfId="1" applyNumberFormat="1" applyFont="1" applyFill="1" applyBorder="1">
      <alignment vertical="center"/>
    </xf>
    <xf numFmtId="182" fontId="11" fillId="0" borderId="36" xfId="1" applyNumberFormat="1" applyFont="1" applyFill="1" applyBorder="1">
      <alignment vertical="center"/>
    </xf>
    <xf numFmtId="0" fontId="3" fillId="0" borderId="47" xfId="0" applyFont="1" applyFill="1" applyBorder="1" applyAlignment="1">
      <alignment horizontal="left" vertical="center"/>
    </xf>
    <xf numFmtId="43" fontId="32" fillId="0" borderId="0" xfId="1" applyFont="1" applyFill="1" applyBorder="1">
      <alignment vertical="center"/>
    </xf>
    <xf numFmtId="183" fontId="32" fillId="0" borderId="0" xfId="1" applyNumberFormat="1" applyFont="1" applyFill="1" applyBorder="1">
      <alignment vertical="center"/>
    </xf>
    <xf numFmtId="43" fontId="32" fillId="0" borderId="0" xfId="1" applyNumberFormat="1" applyFont="1" applyFill="1" applyBorder="1">
      <alignment vertical="center"/>
    </xf>
    <xf numFmtId="0" fontId="3" fillId="0" borderId="0" xfId="0" applyFont="1" applyFill="1" applyAlignment="1">
      <alignment horizontal="center" vertical="center" wrapText="1"/>
    </xf>
    <xf numFmtId="43" fontId="3" fillId="0" borderId="0" xfId="1" applyFont="1" applyFill="1" applyAlignment="1">
      <alignment horizontal="center" vertical="center"/>
    </xf>
    <xf numFmtId="0" fontId="24" fillId="0" borderId="47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right" vertical="center"/>
    </xf>
    <xf numFmtId="43" fontId="33" fillId="0" borderId="0" xfId="1" applyFont="1" applyFill="1" applyBorder="1">
      <alignment vertical="center"/>
    </xf>
    <xf numFmtId="43" fontId="30" fillId="0" borderId="0" xfId="1" applyFont="1" applyFill="1" applyAlignment="1">
      <alignment horizontal="center" vertical="center"/>
    </xf>
    <xf numFmtId="182" fontId="30" fillId="0" borderId="0" xfId="0" applyNumberFormat="1" applyFont="1" applyFill="1">
      <alignment vertical="center"/>
    </xf>
    <xf numFmtId="182" fontId="32" fillId="0" borderId="0" xfId="1" applyNumberFormat="1" applyFont="1" applyFill="1">
      <alignment vertical="center"/>
    </xf>
    <xf numFmtId="9" fontId="32" fillId="0" borderId="0" xfId="3" applyNumberFormat="1" applyFont="1" applyFill="1" applyBorder="1">
      <alignment vertical="center"/>
    </xf>
    <xf numFmtId="10" fontId="32" fillId="0" borderId="0" xfId="3" applyNumberFormat="1" applyFont="1" applyFill="1" applyBorder="1">
      <alignment vertical="center"/>
    </xf>
    <xf numFmtId="197" fontId="11" fillId="0" borderId="0" xfId="0" applyNumberFormat="1" applyFont="1" applyFill="1">
      <alignment vertical="center"/>
    </xf>
    <xf numFmtId="0" fontId="3" fillId="0" borderId="22" xfId="0" applyFont="1" applyFill="1" applyBorder="1" applyAlignment="1">
      <alignment horizontal="left" vertical="center"/>
    </xf>
    <xf numFmtId="0" fontId="3" fillId="0" borderId="22" xfId="0" applyFont="1" applyFill="1" applyBorder="1" applyAlignment="1">
      <alignment horizontal="right" vertical="center"/>
    </xf>
    <xf numFmtId="182" fontId="32" fillId="0" borderId="22" xfId="1" applyNumberFormat="1" applyFont="1" applyFill="1" applyBorder="1">
      <alignment vertical="center"/>
    </xf>
    <xf numFmtId="43" fontId="32" fillId="0" borderId="22" xfId="1" applyFont="1" applyFill="1" applyBorder="1">
      <alignment vertical="center"/>
    </xf>
    <xf numFmtId="0" fontId="11" fillId="0" borderId="22" xfId="0" applyFont="1" applyFill="1" applyBorder="1">
      <alignment vertical="center"/>
    </xf>
    <xf numFmtId="0" fontId="3" fillId="8" borderId="34" xfId="0" applyFont="1" applyFill="1" applyBorder="1" applyAlignment="1">
      <alignment horizontal="left" vertical="center"/>
    </xf>
    <xf numFmtId="0" fontId="11" fillId="8" borderId="34" xfId="0" applyFont="1" applyFill="1" applyBorder="1" applyAlignment="1">
      <alignment horizontal="right" vertical="center"/>
    </xf>
    <xf numFmtId="43" fontId="11" fillId="8" borderId="34" xfId="1" applyFont="1" applyFill="1" applyBorder="1">
      <alignment vertical="center"/>
    </xf>
    <xf numFmtId="9" fontId="11" fillId="8" borderId="34" xfId="3" applyFont="1" applyFill="1" applyBorder="1">
      <alignment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6" xfId="0" applyFont="1" applyFill="1" applyBorder="1" applyAlignment="1">
      <alignment horizontal="left" vertical="center"/>
    </xf>
    <xf numFmtId="0" fontId="11" fillId="0" borderId="36" xfId="0" applyFont="1" applyFill="1" applyBorder="1" applyAlignment="1">
      <alignment horizontal="right" vertical="center"/>
    </xf>
    <xf numFmtId="43" fontId="11" fillId="0" borderId="36" xfId="1" applyFont="1" applyFill="1" applyBorder="1">
      <alignment vertical="center"/>
    </xf>
    <xf numFmtId="43" fontId="11" fillId="0" borderId="36" xfId="1" applyNumberFormat="1" applyFont="1" applyFill="1" applyBorder="1">
      <alignment vertical="center"/>
    </xf>
    <xf numFmtId="9" fontId="11" fillId="0" borderId="36" xfId="1" applyNumberFormat="1" applyFont="1" applyFill="1" applyBorder="1">
      <alignment vertical="center"/>
    </xf>
    <xf numFmtId="0" fontId="8" fillId="9" borderId="46" xfId="0" applyFont="1" applyFill="1" applyBorder="1" applyAlignment="1">
      <alignment horizontal="left" vertical="center"/>
    </xf>
    <xf numFmtId="0" fontId="8" fillId="9" borderId="36" xfId="0" applyFont="1" applyFill="1" applyBorder="1" applyAlignment="1">
      <alignment horizontal="left" vertical="center"/>
    </xf>
    <xf numFmtId="0" fontId="8" fillId="9" borderId="36" xfId="0" applyFont="1" applyFill="1" applyBorder="1" applyAlignment="1">
      <alignment horizontal="right" vertical="center"/>
    </xf>
    <xf numFmtId="43" fontId="11" fillId="9" borderId="46" xfId="1" applyFont="1" applyFill="1" applyBorder="1">
      <alignment vertical="center"/>
    </xf>
    <xf numFmtId="43" fontId="11" fillId="9" borderId="46" xfId="1" applyNumberFormat="1" applyFont="1" applyFill="1" applyBorder="1">
      <alignment vertical="center"/>
    </xf>
    <xf numFmtId="9" fontId="11" fillId="9" borderId="46" xfId="1" applyNumberFormat="1" applyFont="1" applyFill="1" applyBorder="1">
      <alignment vertical="center"/>
    </xf>
    <xf numFmtId="0" fontId="8" fillId="0" borderId="46" xfId="0" applyFont="1" applyFill="1" applyBorder="1" applyAlignment="1">
      <alignment horizontal="left" vertical="center"/>
    </xf>
    <xf numFmtId="49" fontId="8" fillId="0" borderId="46" xfId="0" applyNumberFormat="1" applyFont="1" applyFill="1" applyBorder="1" applyAlignment="1">
      <alignment horizontal="left" vertical="center"/>
    </xf>
    <xf numFmtId="0" fontId="8" fillId="0" borderId="36" xfId="0" applyFont="1" applyFill="1" applyBorder="1" applyAlignment="1">
      <alignment horizontal="left" vertical="center"/>
    </xf>
    <xf numFmtId="0" fontId="8" fillId="0" borderId="36" xfId="0" applyFont="1" applyFill="1" applyBorder="1" applyAlignment="1">
      <alignment horizontal="right" vertical="center"/>
    </xf>
    <xf numFmtId="43" fontId="11" fillId="0" borderId="46" xfId="1" applyNumberFormat="1" applyFont="1" applyFill="1" applyBorder="1">
      <alignment vertical="center"/>
    </xf>
    <xf numFmtId="43" fontId="11" fillId="0" borderId="46" xfId="1" applyFont="1" applyFill="1" applyBorder="1">
      <alignment vertical="center"/>
    </xf>
    <xf numFmtId="9" fontId="11" fillId="0" borderId="46" xfId="1" applyNumberFormat="1" applyFont="1" applyFill="1" applyBorder="1">
      <alignment vertical="center"/>
    </xf>
    <xf numFmtId="0" fontId="8" fillId="9" borderId="46" xfId="0" applyFont="1" applyFill="1" applyBorder="1" applyAlignment="1">
      <alignment horizontal="right" vertical="center"/>
    </xf>
    <xf numFmtId="0" fontId="8" fillId="0" borderId="46" xfId="0" applyFont="1" applyFill="1" applyBorder="1" applyAlignment="1">
      <alignment vertical="center"/>
    </xf>
    <xf numFmtId="43" fontId="8" fillId="0" borderId="36" xfId="0" applyNumberFormat="1" applyFont="1" applyFill="1" applyBorder="1" applyAlignment="1">
      <alignment horizontal="right" vertical="center"/>
    </xf>
    <xf numFmtId="49" fontId="8" fillId="0" borderId="46" xfId="0" applyNumberFormat="1" applyFont="1" applyFill="1" applyBorder="1" applyAlignment="1">
      <alignment vertical="center"/>
    </xf>
    <xf numFmtId="0" fontId="8" fillId="0" borderId="46" xfId="0" applyFont="1" applyFill="1" applyBorder="1" applyAlignment="1">
      <alignment horizontal="right" vertical="center"/>
    </xf>
    <xf numFmtId="0" fontId="11" fillId="0" borderId="46" xfId="0" applyFont="1" applyFill="1" applyBorder="1" applyAlignment="1">
      <alignment horizontal="right" vertical="center"/>
    </xf>
    <xf numFmtId="0" fontId="11" fillId="0" borderId="48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right" vertical="center"/>
    </xf>
    <xf numFmtId="43" fontId="11" fillId="0" borderId="23" xfId="1" applyNumberFormat="1" applyFont="1" applyFill="1" applyBorder="1">
      <alignment vertical="center"/>
    </xf>
    <xf numFmtId="9" fontId="11" fillId="0" borderId="23" xfId="1" applyNumberFormat="1" applyFont="1" applyFill="1" applyBorder="1">
      <alignment vertical="center"/>
    </xf>
    <xf numFmtId="0" fontId="24" fillId="0" borderId="0" xfId="0" applyFont="1" applyFill="1">
      <alignment vertical="center"/>
    </xf>
    <xf numFmtId="0" fontId="30" fillId="0" borderId="0" xfId="0" applyFont="1" applyFill="1" applyAlignment="1">
      <alignment horizontal="left" vertical="center" readingOrder="1"/>
    </xf>
    <xf numFmtId="0" fontId="34" fillId="0" borderId="0" xfId="0" applyFont="1" applyFill="1" applyAlignment="1">
      <alignment horizontal="left" vertical="center" readingOrder="1"/>
    </xf>
    <xf numFmtId="43" fontId="11" fillId="0" borderId="0" xfId="0" applyNumberFormat="1" applyFont="1" applyFill="1">
      <alignment vertical="center"/>
    </xf>
    <xf numFmtId="0" fontId="30" fillId="0" borderId="0" xfId="0" applyFont="1" applyFill="1">
      <alignment vertical="center"/>
    </xf>
    <xf numFmtId="43" fontId="0" fillId="0" borderId="0" xfId="0" applyNumberFormat="1">
      <alignment vertical="center"/>
    </xf>
    <xf numFmtId="0" fontId="8" fillId="0" borderId="0" xfId="53" applyFont="1">
      <alignment vertical="center"/>
    </xf>
    <xf numFmtId="0" fontId="11" fillId="0" borderId="0" xfId="53" applyFont="1">
      <alignment vertical="center"/>
    </xf>
    <xf numFmtId="198" fontId="8" fillId="0" borderId="0" xfId="1" applyNumberFormat="1" applyFont="1">
      <alignment vertical="center"/>
    </xf>
    <xf numFmtId="0" fontId="15" fillId="0" borderId="0" xfId="53" applyFont="1">
      <alignment vertical="center"/>
    </xf>
    <xf numFmtId="0" fontId="35" fillId="0" borderId="0" xfId="53" applyFont="1">
      <alignment vertical="center"/>
    </xf>
    <xf numFmtId="0" fontId="35" fillId="0" borderId="0" xfId="53" applyFont="1" applyFill="1">
      <alignment vertical="center"/>
    </xf>
    <xf numFmtId="0" fontId="34" fillId="0" borderId="0" xfId="53" applyFont="1" applyBorder="1" applyAlignment="1">
      <alignment horizontal="left" vertical="center"/>
    </xf>
    <xf numFmtId="198" fontId="8" fillId="0" borderId="0" xfId="1" applyNumberFormat="1" applyFont="1" applyBorder="1" applyAlignment="1">
      <alignment horizontal="left" vertical="center"/>
    </xf>
    <xf numFmtId="0" fontId="34" fillId="0" borderId="0" xfId="53" applyFont="1" applyFill="1" applyBorder="1" applyAlignment="1">
      <alignment horizontal="left" vertical="center"/>
    </xf>
    <xf numFmtId="0" fontId="11" fillId="0" borderId="0" xfId="53" applyFont="1" applyAlignment="1">
      <alignment vertical="center"/>
    </xf>
    <xf numFmtId="0" fontId="36" fillId="0" borderId="49" xfId="53" applyFont="1" applyBorder="1" applyAlignment="1">
      <alignment horizontal="center" vertical="center"/>
    </xf>
    <xf numFmtId="0" fontId="10" fillId="8" borderId="49" xfId="53" applyFont="1" applyFill="1" applyBorder="1" applyAlignment="1">
      <alignment horizontal="center" vertical="center"/>
    </xf>
    <xf numFmtId="0" fontId="10" fillId="8" borderId="50" xfId="53" applyFont="1" applyFill="1" applyBorder="1" applyAlignment="1">
      <alignment horizontal="center" vertical="center"/>
    </xf>
    <xf numFmtId="0" fontId="36" fillId="0" borderId="51" xfId="53" applyFont="1" applyBorder="1" applyAlignment="1">
      <alignment horizontal="center" vertical="center"/>
    </xf>
    <xf numFmtId="0" fontId="36" fillId="0" borderId="0" xfId="53" applyFont="1" applyFill="1" applyBorder="1" applyAlignment="1">
      <alignment horizontal="center" vertical="center"/>
    </xf>
    <xf numFmtId="0" fontId="11" fillId="0" borderId="47" xfId="53" applyFont="1" applyBorder="1" applyAlignment="1">
      <alignment horizontal="center" vertical="center"/>
    </xf>
    <xf numFmtId="0" fontId="36" fillId="0" borderId="52" xfId="53" applyFont="1" applyBorder="1" applyAlignment="1">
      <alignment horizontal="center" vertical="center"/>
    </xf>
    <xf numFmtId="0" fontId="10" fillId="8" borderId="53" xfId="53" applyFont="1" applyFill="1" applyBorder="1" applyAlignment="1">
      <alignment horizontal="center" vertical="center"/>
    </xf>
    <xf numFmtId="0" fontId="10" fillId="8" borderId="54" xfId="53" applyFont="1" applyFill="1" applyBorder="1" applyAlignment="1">
      <alignment horizontal="center" vertical="center"/>
    </xf>
    <xf numFmtId="0" fontId="36" fillId="0" borderId="55" xfId="53" applyFont="1" applyBorder="1" applyAlignment="1">
      <alignment horizontal="center" vertical="center"/>
    </xf>
    <xf numFmtId="0" fontId="36" fillId="0" borderId="56" xfId="53" applyFont="1" applyBorder="1" applyAlignment="1">
      <alignment horizontal="center" vertical="center"/>
    </xf>
    <xf numFmtId="198" fontId="10" fillId="0" borderId="57" xfId="1" applyNumberFormat="1" applyFont="1" applyBorder="1" applyAlignment="1">
      <alignment horizontal="center" vertical="center"/>
    </xf>
    <xf numFmtId="0" fontId="36" fillId="0" borderId="58" xfId="53" applyFont="1" applyBorder="1" applyAlignment="1">
      <alignment horizontal="center" vertical="center"/>
    </xf>
    <xf numFmtId="0" fontId="36" fillId="0" borderId="59" xfId="53" applyFont="1" applyBorder="1" applyAlignment="1">
      <alignment horizontal="center" vertical="center"/>
    </xf>
    <xf numFmtId="0" fontId="36" fillId="0" borderId="60" xfId="53" applyFont="1" applyBorder="1">
      <alignment vertical="center"/>
    </xf>
    <xf numFmtId="182" fontId="8" fillId="0" borderId="61" xfId="1" applyNumberFormat="1" applyFont="1" applyFill="1" applyBorder="1">
      <alignment vertical="center"/>
    </xf>
    <xf numFmtId="182" fontId="36" fillId="0" borderId="10" xfId="53" applyNumberFormat="1" applyFont="1" applyBorder="1" applyAlignment="1">
      <alignment horizontal="center" vertical="center"/>
    </xf>
    <xf numFmtId="43" fontId="34" fillId="0" borderId="62" xfId="1" applyFont="1" applyBorder="1">
      <alignment vertical="center"/>
    </xf>
    <xf numFmtId="43" fontId="34" fillId="0" borderId="0" xfId="1" applyFont="1" applyFill="1" applyBorder="1">
      <alignment vertical="center"/>
    </xf>
    <xf numFmtId="0" fontId="36" fillId="0" borderId="52" xfId="53" applyFont="1" applyBorder="1">
      <alignment vertical="center"/>
    </xf>
    <xf numFmtId="198" fontId="8" fillId="0" borderId="61" xfId="1" applyNumberFormat="1" applyFont="1" applyBorder="1">
      <alignment vertical="center"/>
    </xf>
    <xf numFmtId="43" fontId="34" fillId="0" borderId="55" xfId="1" applyFont="1" applyBorder="1">
      <alignment vertical="center"/>
    </xf>
    <xf numFmtId="0" fontId="36" fillId="0" borderId="52" xfId="53" applyFont="1" applyFill="1" applyBorder="1">
      <alignment vertical="center"/>
    </xf>
    <xf numFmtId="187" fontId="8" fillId="0" borderId="61" xfId="1" applyNumberFormat="1" applyFont="1" applyFill="1" applyBorder="1">
      <alignment vertical="center"/>
    </xf>
    <xf numFmtId="0" fontId="36" fillId="0" borderId="10" xfId="53" applyFont="1" applyFill="1" applyBorder="1" applyAlignment="1">
      <alignment horizontal="center" vertical="center"/>
    </xf>
    <xf numFmtId="0" fontId="36" fillId="0" borderId="55" xfId="53" applyFont="1" applyFill="1" applyBorder="1">
      <alignment vertical="center"/>
    </xf>
    <xf numFmtId="0" fontId="36" fillId="0" borderId="0" xfId="53" applyFont="1" applyFill="1" applyBorder="1">
      <alignment vertical="center"/>
    </xf>
    <xf numFmtId="182" fontId="36" fillId="0" borderId="10" xfId="53" applyNumberFormat="1" applyFont="1" applyFill="1" applyBorder="1" applyAlignment="1">
      <alignment horizontal="center" vertical="center"/>
    </xf>
    <xf numFmtId="0" fontId="34" fillId="0" borderId="55" xfId="53" applyFont="1" applyFill="1" applyBorder="1">
      <alignment vertical="center"/>
    </xf>
    <xf numFmtId="0" fontId="34" fillId="0" borderId="0" xfId="53" applyFont="1" applyFill="1" applyBorder="1">
      <alignment vertical="center"/>
    </xf>
    <xf numFmtId="0" fontId="36" fillId="6" borderId="52" xfId="53" applyFont="1" applyFill="1" applyBorder="1">
      <alignment vertical="center"/>
    </xf>
    <xf numFmtId="43" fontId="8" fillId="6" borderId="61" xfId="1" applyNumberFormat="1" applyFont="1" applyFill="1" applyBorder="1">
      <alignment vertical="center"/>
    </xf>
    <xf numFmtId="43" fontId="36" fillId="6" borderId="10" xfId="53" applyNumberFormat="1" applyFont="1" applyFill="1" applyBorder="1" applyAlignment="1">
      <alignment horizontal="center" vertical="center"/>
    </xf>
    <xf numFmtId="0" fontId="34" fillId="6" borderId="55" xfId="53" applyFont="1" applyFill="1" applyBorder="1">
      <alignment vertical="center"/>
    </xf>
    <xf numFmtId="198" fontId="8" fillId="0" borderId="61" xfId="1" applyNumberFormat="1" applyFont="1" applyFill="1" applyBorder="1">
      <alignment vertical="center"/>
    </xf>
    <xf numFmtId="43" fontId="36" fillId="0" borderId="10" xfId="53" applyNumberFormat="1" applyFont="1" applyFill="1" applyBorder="1" applyAlignment="1">
      <alignment horizontal="center" vertical="center"/>
    </xf>
    <xf numFmtId="187" fontId="37" fillId="6" borderId="61" xfId="1" applyNumberFormat="1" applyFont="1" applyFill="1" applyBorder="1">
      <alignment vertical="center"/>
    </xf>
    <xf numFmtId="0" fontId="38" fillId="6" borderId="10" xfId="53" applyFont="1" applyFill="1" applyBorder="1">
      <alignment vertical="center"/>
    </xf>
    <xf numFmtId="43" fontId="38" fillId="6" borderId="55" xfId="1" applyFont="1" applyFill="1" applyBorder="1">
      <alignment vertical="center"/>
    </xf>
    <xf numFmtId="43" fontId="38" fillId="0" borderId="0" xfId="1" applyFont="1" applyFill="1" applyBorder="1">
      <alignment vertical="center"/>
    </xf>
    <xf numFmtId="198" fontId="39" fillId="0" borderId="61" xfId="1" applyNumberFormat="1" applyFont="1" applyBorder="1">
      <alignment vertical="center"/>
    </xf>
    <xf numFmtId="182" fontId="38" fillId="0" borderId="10" xfId="53" applyNumberFormat="1" applyFont="1" applyBorder="1">
      <alignment vertical="center"/>
    </xf>
    <xf numFmtId="43" fontId="38" fillId="0" borderId="55" xfId="1" applyFont="1" applyBorder="1">
      <alignment vertical="center"/>
    </xf>
    <xf numFmtId="0" fontId="38" fillId="0" borderId="10" xfId="53" applyFont="1" applyBorder="1">
      <alignment vertical="center"/>
    </xf>
    <xf numFmtId="0" fontId="36" fillId="10" borderId="52" xfId="53" applyFont="1" applyFill="1" applyBorder="1">
      <alignment vertical="center"/>
    </xf>
    <xf numFmtId="10" fontId="39" fillId="10" borderId="61" xfId="3" applyNumberFormat="1" applyFont="1" applyFill="1" applyBorder="1">
      <alignment vertical="center"/>
    </xf>
    <xf numFmtId="199" fontId="38" fillId="10" borderId="10" xfId="53" applyNumberFormat="1" applyFont="1" applyFill="1" applyBorder="1">
      <alignment vertical="center"/>
    </xf>
    <xf numFmtId="10" fontId="38" fillId="10" borderId="55" xfId="53" applyNumberFormat="1" applyFont="1" applyFill="1" applyBorder="1">
      <alignment vertical="center"/>
    </xf>
    <xf numFmtId="10" fontId="38" fillId="0" borderId="0" xfId="53" applyNumberFormat="1" applyFont="1" applyFill="1" applyBorder="1">
      <alignment vertical="center"/>
    </xf>
    <xf numFmtId="0" fontId="36" fillId="11" borderId="52" xfId="53" applyFont="1" applyFill="1" applyBorder="1">
      <alignment vertical="center"/>
    </xf>
    <xf numFmtId="43" fontId="39" fillId="11" borderId="61" xfId="1" applyFont="1" applyFill="1" applyBorder="1">
      <alignment vertical="center"/>
    </xf>
    <xf numFmtId="199" fontId="38" fillId="11" borderId="10" xfId="53" applyNumberFormat="1" applyFont="1" applyFill="1" applyBorder="1">
      <alignment vertical="center"/>
    </xf>
    <xf numFmtId="10" fontId="38" fillId="11" borderId="55" xfId="53" applyNumberFormat="1" applyFont="1" applyFill="1" applyBorder="1">
      <alignment vertical="center"/>
    </xf>
    <xf numFmtId="198" fontId="39" fillId="10" borderId="61" xfId="1" applyNumberFormat="1" applyFont="1" applyFill="1" applyBorder="1">
      <alignment vertical="center"/>
    </xf>
    <xf numFmtId="182" fontId="38" fillId="10" borderId="10" xfId="53" applyNumberFormat="1" applyFont="1" applyFill="1" applyBorder="1">
      <alignment vertical="center"/>
    </xf>
    <xf numFmtId="0" fontId="36" fillId="12" borderId="52" xfId="53" applyFont="1" applyFill="1" applyBorder="1">
      <alignment vertical="center"/>
    </xf>
    <xf numFmtId="10" fontId="39" fillId="12" borderId="61" xfId="3" applyNumberFormat="1" applyFont="1" applyFill="1" applyBorder="1">
      <alignment vertical="center"/>
    </xf>
    <xf numFmtId="199" fontId="38" fillId="12" borderId="10" xfId="53" applyNumberFormat="1" applyFont="1" applyFill="1" applyBorder="1">
      <alignment vertical="center"/>
    </xf>
    <xf numFmtId="10" fontId="38" fillId="12" borderId="55" xfId="53" applyNumberFormat="1" applyFont="1" applyFill="1" applyBorder="1">
      <alignment vertical="center"/>
    </xf>
    <xf numFmtId="0" fontId="36" fillId="0" borderId="49" xfId="53" applyFont="1" applyBorder="1" applyAlignment="1">
      <alignment vertical="center"/>
    </xf>
    <xf numFmtId="198" fontId="39" fillId="0" borderId="63" xfId="1" applyNumberFormat="1" applyFont="1" applyBorder="1">
      <alignment vertical="center"/>
    </xf>
    <xf numFmtId="0" fontId="38" fillId="0" borderId="50" xfId="53" applyFont="1" applyBorder="1">
      <alignment vertical="center"/>
    </xf>
    <xf numFmtId="10" fontId="38" fillId="0" borderId="51" xfId="53" applyNumberFormat="1" applyFont="1" applyBorder="1">
      <alignment vertical="center"/>
    </xf>
    <xf numFmtId="0" fontId="34" fillId="0" borderId="52" xfId="53" applyFont="1" applyBorder="1" applyAlignment="1">
      <alignment horizontal="right" vertical="center"/>
    </xf>
    <xf numFmtId="10" fontId="38" fillId="0" borderId="55" xfId="53" applyNumberFormat="1" applyFont="1" applyBorder="1">
      <alignment vertical="center"/>
    </xf>
    <xf numFmtId="0" fontId="36" fillId="0" borderId="52" xfId="53" applyFont="1" applyBorder="1" applyAlignment="1">
      <alignment vertical="center"/>
    </xf>
    <xf numFmtId="0" fontId="36" fillId="0" borderId="53" xfId="53" applyFont="1" applyBorder="1" applyAlignment="1">
      <alignment vertical="center"/>
    </xf>
    <xf numFmtId="198" fontId="39" fillId="0" borderId="64" xfId="1" applyNumberFormat="1" applyFont="1" applyBorder="1">
      <alignment vertical="center"/>
    </xf>
    <xf numFmtId="0" fontId="38" fillId="0" borderId="54" xfId="53" applyFont="1" applyBorder="1">
      <alignment vertical="center"/>
    </xf>
    <xf numFmtId="10" fontId="38" fillId="0" borderId="65" xfId="53" applyNumberFormat="1" applyFont="1" applyBorder="1">
      <alignment vertical="center"/>
    </xf>
    <xf numFmtId="0" fontId="36" fillId="0" borderId="66" xfId="53" applyFont="1" applyBorder="1">
      <alignment vertical="center"/>
    </xf>
    <xf numFmtId="186" fontId="8" fillId="0" borderId="67" xfId="1" applyNumberFormat="1" applyFont="1" applyBorder="1">
      <alignment vertical="center"/>
    </xf>
    <xf numFmtId="0" fontId="34" fillId="0" borderId="68" xfId="53" applyFont="1" applyBorder="1">
      <alignment vertical="center"/>
    </xf>
    <xf numFmtId="43" fontId="34" fillId="0" borderId="66" xfId="53" applyNumberFormat="1" applyFont="1" applyBorder="1">
      <alignment vertical="center"/>
    </xf>
    <xf numFmtId="43" fontId="34" fillId="0" borderId="0" xfId="53" applyNumberFormat="1" applyFont="1" applyFill="1" applyBorder="1">
      <alignment vertical="center"/>
    </xf>
    <xf numFmtId="0" fontId="36" fillId="6" borderId="69" xfId="53" applyFont="1" applyFill="1" applyBorder="1">
      <alignment vertical="center"/>
    </xf>
    <xf numFmtId="186" fontId="10" fillId="6" borderId="70" xfId="1" applyNumberFormat="1" applyFont="1" applyFill="1" applyBorder="1">
      <alignment vertical="center"/>
    </xf>
    <xf numFmtId="9" fontId="36" fillId="6" borderId="71" xfId="53" applyNumberFormat="1" applyFont="1" applyFill="1" applyBorder="1">
      <alignment vertical="center"/>
    </xf>
    <xf numFmtId="43" fontId="34" fillId="6" borderId="69" xfId="53" applyNumberFormat="1" applyFont="1" applyFill="1" applyBorder="1">
      <alignment vertical="center"/>
    </xf>
    <xf numFmtId="43" fontId="36" fillId="6" borderId="69" xfId="53" applyNumberFormat="1" applyFont="1" applyFill="1" applyBorder="1">
      <alignment vertical="center"/>
    </xf>
    <xf numFmtId="43" fontId="36" fillId="0" borderId="0" xfId="53" applyNumberFormat="1" applyFont="1" applyFill="1" applyBorder="1">
      <alignment vertical="center"/>
    </xf>
    <xf numFmtId="0" fontId="34" fillId="0" borderId="69" xfId="53" applyFont="1" applyBorder="1">
      <alignment vertical="center"/>
    </xf>
    <xf numFmtId="186" fontId="8" fillId="0" borderId="70" xfId="1" applyNumberFormat="1" applyFont="1" applyBorder="1">
      <alignment vertical="center"/>
    </xf>
    <xf numFmtId="0" fontId="34" fillId="0" borderId="71" xfId="53" applyFont="1" applyBorder="1">
      <alignment vertical="center"/>
    </xf>
    <xf numFmtId="43" fontId="34" fillId="0" borderId="69" xfId="53" applyNumberFormat="1" applyFont="1" applyBorder="1">
      <alignment vertical="center"/>
    </xf>
    <xf numFmtId="0" fontId="34" fillId="0" borderId="72" xfId="53" applyFont="1" applyBorder="1" applyAlignment="1">
      <alignment horizontal="right" vertical="center"/>
    </xf>
    <xf numFmtId="186" fontId="8" fillId="0" borderId="73" xfId="1" applyNumberFormat="1" applyFont="1" applyBorder="1">
      <alignment vertical="center"/>
    </xf>
    <xf numFmtId="0" fontId="34" fillId="0" borderId="74" xfId="53" applyFont="1" applyBorder="1">
      <alignment vertical="center"/>
    </xf>
    <xf numFmtId="43" fontId="34" fillId="0" borderId="72" xfId="1" applyFont="1" applyBorder="1">
      <alignment vertical="center"/>
    </xf>
    <xf numFmtId="0" fontId="34" fillId="0" borderId="75" xfId="53" applyFont="1" applyBorder="1" applyAlignment="1">
      <alignment horizontal="right" vertical="center"/>
    </xf>
    <xf numFmtId="186" fontId="8" fillId="0" borderId="76" xfId="1" applyNumberFormat="1" applyFont="1" applyBorder="1">
      <alignment vertical="center"/>
    </xf>
    <xf numFmtId="0" fontId="34" fillId="0" borderId="77" xfId="53" applyFont="1" applyBorder="1">
      <alignment vertical="center"/>
    </xf>
    <xf numFmtId="43" fontId="34" fillId="0" borderId="75" xfId="1" applyFont="1" applyBorder="1">
      <alignment vertical="center"/>
    </xf>
    <xf numFmtId="0" fontId="36" fillId="0" borderId="75" xfId="53" applyFont="1" applyBorder="1" applyAlignment="1">
      <alignment horizontal="left" vertical="center"/>
    </xf>
    <xf numFmtId="0" fontId="36" fillId="0" borderId="69" xfId="53" applyFont="1" applyBorder="1">
      <alignment vertical="center"/>
    </xf>
    <xf numFmtId="186" fontId="10" fillId="0" borderId="70" xfId="1" applyNumberFormat="1" applyFont="1" applyFill="1" applyBorder="1">
      <alignment vertical="center"/>
    </xf>
    <xf numFmtId="43" fontId="36" fillId="0" borderId="69" xfId="53" applyNumberFormat="1" applyFont="1" applyBorder="1">
      <alignment vertical="center"/>
    </xf>
    <xf numFmtId="43" fontId="11" fillId="0" borderId="0" xfId="53" applyNumberFormat="1" applyFont="1">
      <alignment vertical="center"/>
    </xf>
    <xf numFmtId="0" fontId="36" fillId="0" borderId="69" xfId="53" applyFont="1" applyBorder="1" applyAlignment="1">
      <alignment horizontal="left" vertical="center"/>
    </xf>
    <xf numFmtId="186" fontId="10" fillId="0" borderId="70" xfId="1" applyNumberFormat="1" applyFont="1" applyBorder="1">
      <alignment vertical="center"/>
    </xf>
    <xf numFmtId="49" fontId="8" fillId="0" borderId="78" xfId="53" applyNumberFormat="1" applyFont="1" applyFill="1" applyBorder="1" applyAlignment="1">
      <alignment horizontal="right" vertical="center"/>
    </xf>
    <xf numFmtId="43" fontId="36" fillId="0" borderId="72" xfId="53" applyNumberFormat="1" applyFont="1" applyBorder="1">
      <alignment vertical="center"/>
    </xf>
    <xf numFmtId="49" fontId="8" fillId="0" borderId="55" xfId="53" applyNumberFormat="1" applyFont="1" applyFill="1" applyBorder="1" applyAlignment="1">
      <alignment horizontal="right" vertical="center"/>
    </xf>
    <xf numFmtId="186" fontId="8" fillId="0" borderId="61" xfId="1" applyNumberFormat="1" applyFont="1" applyBorder="1">
      <alignment vertical="center"/>
    </xf>
    <xf numFmtId="43" fontId="36" fillId="0" borderId="55" xfId="53" applyNumberFormat="1" applyFont="1" applyBorder="1">
      <alignment vertical="center"/>
    </xf>
    <xf numFmtId="43" fontId="34" fillId="0" borderId="55" xfId="53" applyNumberFormat="1" applyFont="1" applyBorder="1">
      <alignment vertical="center"/>
    </xf>
    <xf numFmtId="49" fontId="8" fillId="0" borderId="79" xfId="53" applyNumberFormat="1" applyFont="1" applyFill="1" applyBorder="1" applyAlignment="1">
      <alignment horizontal="right" vertical="center"/>
    </xf>
    <xf numFmtId="43" fontId="34" fillId="0" borderId="75" xfId="53" applyNumberFormat="1" applyFont="1" applyBorder="1">
      <alignment vertical="center"/>
    </xf>
    <xf numFmtId="49" fontId="8" fillId="0" borderId="80" xfId="53" applyNumberFormat="1" applyFont="1" applyFill="1" applyBorder="1" applyAlignment="1">
      <alignment vertical="center"/>
    </xf>
    <xf numFmtId="186" fontId="10" fillId="0" borderId="73" xfId="1" applyNumberFormat="1" applyFont="1" applyBorder="1">
      <alignment vertical="center"/>
    </xf>
    <xf numFmtId="43" fontId="34" fillId="0" borderId="72" xfId="53" applyNumberFormat="1" applyFont="1" applyBorder="1">
      <alignment vertical="center"/>
    </xf>
    <xf numFmtId="0" fontId="34" fillId="0" borderId="55" xfId="53" applyFont="1" applyBorder="1" applyAlignment="1">
      <alignment horizontal="right" vertical="center"/>
    </xf>
    <xf numFmtId="0" fontId="8" fillId="0" borderId="78" xfId="53" applyFont="1" applyBorder="1" applyAlignment="1">
      <alignment horizontal="right" vertical="center"/>
    </xf>
    <xf numFmtId="186" fontId="8" fillId="0" borderId="81" xfId="1" applyNumberFormat="1" applyFont="1" applyBorder="1">
      <alignment vertical="center"/>
    </xf>
    <xf numFmtId="43" fontId="8" fillId="0" borderId="78" xfId="53" applyNumberFormat="1" applyFont="1" applyBorder="1">
      <alignment vertical="center"/>
    </xf>
    <xf numFmtId="43" fontId="8" fillId="0" borderId="0" xfId="53" applyNumberFormat="1" applyFont="1" applyFill="1" applyBorder="1">
      <alignment vertical="center"/>
    </xf>
    <xf numFmtId="9" fontId="34" fillId="0" borderId="77" xfId="53" applyNumberFormat="1" applyFont="1" applyBorder="1">
      <alignment vertical="center"/>
    </xf>
    <xf numFmtId="9" fontId="36" fillId="0" borderId="71" xfId="53" applyNumberFormat="1" applyFont="1" applyBorder="1">
      <alignment vertical="center"/>
    </xf>
    <xf numFmtId="9" fontId="34" fillId="0" borderId="74" xfId="53" applyNumberFormat="1" applyFont="1" applyBorder="1">
      <alignment vertical="center"/>
    </xf>
    <xf numFmtId="0" fontId="34" fillId="0" borderId="79" xfId="53" applyFont="1" applyBorder="1" applyAlignment="1">
      <alignment horizontal="right" vertical="center"/>
    </xf>
    <xf numFmtId="186" fontId="10" fillId="0" borderId="76" xfId="1" applyNumberFormat="1" applyFont="1" applyBorder="1">
      <alignment vertical="center"/>
    </xf>
    <xf numFmtId="9" fontId="34" fillId="0" borderId="82" xfId="53" applyNumberFormat="1" applyFont="1" applyBorder="1">
      <alignment vertical="center"/>
    </xf>
    <xf numFmtId="43" fontId="34" fillId="0" borderId="79" xfId="53" applyNumberFormat="1" applyFont="1" applyBorder="1">
      <alignment vertical="center"/>
    </xf>
    <xf numFmtId="0" fontId="36" fillId="0" borderId="65" xfId="53" applyFont="1" applyBorder="1" applyAlignment="1">
      <alignment horizontal="left" vertical="center"/>
    </xf>
    <xf numFmtId="186" fontId="10" fillId="0" borderId="64" xfId="1" applyNumberFormat="1" applyFont="1" applyBorder="1">
      <alignment vertical="center"/>
    </xf>
    <xf numFmtId="9" fontId="36" fillId="0" borderId="54" xfId="53" applyNumberFormat="1" applyFont="1" applyBorder="1">
      <alignment vertical="center"/>
    </xf>
    <xf numFmtId="43" fontId="34" fillId="0" borderId="65" xfId="53" applyNumberFormat="1" applyFont="1" applyBorder="1">
      <alignment vertical="center"/>
    </xf>
    <xf numFmtId="0" fontId="11" fillId="0" borderId="15" xfId="0" applyFont="1" applyFill="1" applyBorder="1" applyAlignment="1" applyProtection="1" quotePrefix="1">
      <alignment horizontal="left" vertical="center"/>
    </xf>
  </cellXfs>
  <cellStyles count="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Normal_Bumper BOM C1176 6669 Rev 1 2" xfId="50"/>
    <cellStyle name="Normal_DPAW 3 1-1 1 F3(03Dec)" xfId="51"/>
    <cellStyle name="常规 12" xfId="52"/>
    <cellStyle name="常规 12 4" xfId="53"/>
    <cellStyle name="常规 12 4 2" xfId="54"/>
    <cellStyle name="常规 12 4 2 2" xfId="55"/>
    <cellStyle name="常规 12 4 3" xfId="56"/>
    <cellStyle name="常规 2" xfId="57"/>
    <cellStyle name="常规 2 10" xfId="58"/>
    <cellStyle name="常规 2 2" xfId="59"/>
    <cellStyle name="常规 2 2 2" xfId="60"/>
    <cellStyle name="常规 2 5" xfId="61"/>
    <cellStyle name="常规 23" xfId="62"/>
    <cellStyle name="常规 3" xfId="63"/>
    <cellStyle name="常规 3 30" xfId="64"/>
    <cellStyle name="常规 4" xfId="65"/>
    <cellStyle name="常规 4 2" xfId="66"/>
    <cellStyle name="常规 4 29" xfId="67"/>
    <cellStyle name="常规 4 30" xfId="68"/>
    <cellStyle name="常规 5" xfId="69"/>
    <cellStyle name="常规 5 17" xfId="70"/>
    <cellStyle name="常规 6" xfId="71"/>
    <cellStyle name="常规 8 3" xfId="72"/>
    <cellStyle name="千位分隔 2" xfId="73"/>
    <cellStyle name="千位分隔 3" xfId="74"/>
    <cellStyle name="常规 12 2" xfId="75"/>
    <cellStyle name="常规 12 4 5" xfId="76"/>
    <cellStyle name="常规 12 3" xfId="77"/>
    <cellStyle name="常规 4 3" xfId="78"/>
    <cellStyle name="常规 12 4 3 2" xfId="79"/>
    <cellStyle name="常规 2 2 47" xfId="80"/>
    <cellStyle name="常规 12 2 2" xfId="81"/>
    <cellStyle name="常规 24" xfId="82"/>
    <cellStyle name="常规 2 4" xfId="83"/>
    <cellStyle name="常规 2 2 3" xfId="8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eetMetadata" Target="metadata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9.xml"/><Relationship Id="rId23" Type="http://schemas.openxmlformats.org/officeDocument/2006/relationships/externalLink" Target="externalLinks/externalLink8.xml"/><Relationship Id="rId22" Type="http://schemas.openxmlformats.org/officeDocument/2006/relationships/externalLink" Target="externalLinks/externalLink7.xml"/><Relationship Id="rId21" Type="http://schemas.openxmlformats.org/officeDocument/2006/relationships/externalLink" Target="externalLinks/externalLink6.xml"/><Relationship Id="rId20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4.xml"/><Relationship Id="rId18" Type="http://schemas.openxmlformats.org/officeDocument/2006/relationships/externalLink" Target="externalLinks/externalLink3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\High%20Feaure%20V6%20Costbo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O%20Hercules&#39640;&#21387;&#32447;&#26463;&#25237;&#36164;&#25104;&#26412;&#26680;&#31639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V520&#39033;&#30446;&#39640;&#21387;&#32447;&#26463;&#25237;&#36164;&#25104;&#26412;&#26680;&#31639;&#34920;-&#39033;&#30446;&#25104;&#26412;2023.10.24-4&#39537;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&#38646;&#36305;&#27773;&#36710;C&#24179;&#21488;24&#24180;&#36710;&#22411;&#39033;&#30446;\&#38646;&#36305;&#27773;&#36710;C11RE12&#36710;&#22411;&#39640;&#21387;&#32447;&#26463;&#21487;&#34892;&#24615;&#20998;&#26512;%20-&#36130;&#21153;&#65288;&#29983;&#21629;&#21608;&#26399;%202&#24180;&#65289;%20&#38108;&#22522;&#65306;61.06%20&#38109;&#22522;&#65306;16.8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29702;&#24819;X14&#39033;&#30446;&#39640;&#21387;&#32447;&#26463;&#25237;&#36164;&#25104;&#26412;&#26680;&#31639;&#34920;%20-&#33258;&#21160;&#21270;&#29256;&#26412;-%2020250220-V003%20-%2012&#20026;&#33258;&#21160;&#21270;&#32447;&#20307;%20-&#28938;&#25509;&#26426;&#24037;&#26102;&#19979;&#3847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27169;&#26495;\&#21513;&#21033;&#32764;&#30495;P789%20&#39640;&#21387;&#39033;&#30446;%20&#65288;&#21487;&#34892;&#24615;&#20998;&#26512;&#65289;-&#36130;&#21153;&#65288;&#29983;&#21629;&#21608;&#26399;6&#24180;&#6528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27169;&#26495;\&#22855;&#29790;E0V&#20302;&#21387;&#39033;&#30446;%20-&#21487;&#34892;&#24615;&#20998;&#26512;&#65288;&#29983;&#21629;&#21608;&#26399;5&#24180;&#65289;4.16&#2925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qinzhuanli\Desktop\&#36817;&#26399;&#39033;&#30446;\&#26497;&#27690;&#25253;&#20215;\&#25972;&#36710;&#20302;&#21387;-&#26497;&#27690;DC1E-A3%2066&#21547;&#31246;\&#26497;&#27690;DC1E-A3&#25972;&#36710;&#20302;&#21387;&#39033;&#30446;%20-&#21487;&#34892;&#24615;&#20998;&#26512;&#65288;&#29983;&#21629;&#21608;&#26399;3&#24180;&#65289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진행 DATA (2)"/>
      <sheetName val="Sheet1"/>
      <sheetName val="DATA"/>
      <sheetName val="High Feaure V6 Costbook"/>
      <sheetName val="생산전망"/>
      <sheetName val="?? DATA (2)"/>
      <sheetName val="D33-96420024"/>
      <sheetName val="보고1"/>
      <sheetName val="WEIGHT"/>
      <sheetName val="PV6 3_5L LX5 GMX170"/>
      <sheetName val="#REF"/>
      <sheetName val="__ DATA (2)"/>
      <sheetName val="产品配置表"/>
      <sheetName val="Summary-Korea"/>
      <sheetName val="ATS Summary"/>
      <sheetName val="Detail"/>
      <sheetName val="Sheet2"/>
      <sheetName val="series pricing"/>
      <sheetName val="月度计划提报说明"/>
      <sheetName val="Agreed Features"/>
      <sheetName val="Look-up"/>
      <sheetName val="SW maturity Status Definitions"/>
      <sheetName val="数据汇总"/>
      <sheetName val="汇总"/>
      <sheetName val="部门列表"/>
      <sheetName val="勿删"/>
      <sheetName val="规则 rule"/>
      <sheetName val="整车检查"/>
      <sheetName val="勿删-数据验证"/>
      <sheetName val="数据"/>
      <sheetName val="月度工作计划管理细则"/>
      <sheetName val="1086090401"/>
      <sheetName val="resume"/>
      <sheetName val="L EQ"/>
      <sheetName val="LUQ03 "/>
      <sheetName val="VOL_EXC"/>
      <sheetName val="64164"/>
      <sheetName val="대외공문"/>
      <sheetName val="自有"/>
      <sheetName val="COMMERCIALS-WHO"/>
      <sheetName val="Income Statement"/>
      <sheetName val="712"/>
      <sheetName val="#142-1-갑"/>
      <sheetName val="国内出荷"/>
      <sheetName val="MOTO"/>
      <sheetName val="Sheet4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진행_DATA_(2)"/>
      <sheetName val="High_Feaure_V6_Costbook"/>
      <sheetName val="??_DATA_(2)"/>
      <sheetName val="PV6_3_5L_LX5_GMX1701"/>
      <sheetName val="___DATA_(2)"/>
      <sheetName val="ATS_Summary"/>
      <sheetName val="Agreed_Features"/>
      <sheetName val="series_pricing"/>
      <sheetName val="SW_maturity_Status_Definitions"/>
      <sheetName val="L_EQ"/>
      <sheetName val="LUQ03_"/>
      <sheetName val="Income_Statement"/>
      <sheetName val="规则_rule"/>
      <sheetName val="PV6_3_5L_LX5_GMX1702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진행_DATA_(2)1"/>
      <sheetName val="High_Feaure_V6_Costbook1"/>
      <sheetName val="??_DATA_(2)1"/>
      <sheetName val="PV6_3_5L_LX5_GMX1703"/>
      <sheetName val="Agreed_Features1"/>
      <sheetName val="___DATA_(2)1"/>
      <sheetName val="series_pricing1"/>
      <sheetName val="ATS_Summary1"/>
      <sheetName val="SW_maturity_Status_Definitions1"/>
      <sheetName val="L_EQ1"/>
      <sheetName val="数据源"/>
      <sheetName val="Sheet3"/>
      <sheetName val="TC 2002"/>
      <sheetName val="TC 2005"/>
      <sheetName val="PV6_3_5L_LX5_GMX1704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진행_DATA_(2)2"/>
      <sheetName val="High_Feaure_V6_Costbook2"/>
      <sheetName val="??_DATA_(2)2"/>
      <sheetName val="PV6_3_5L_LX5_GMX1705"/>
      <sheetName val="Agreed_Features2"/>
      <sheetName val="___DATA_(2)2"/>
      <sheetName val="series_pricing2"/>
      <sheetName val="ATS_Summary2"/>
      <sheetName val="SW_maturity_Status_Definitions2"/>
      <sheetName val="L_EQ2"/>
      <sheetName val="规则_rule1"/>
      <sheetName val="TC_2002"/>
      <sheetName val="TC_2005"/>
      <sheetName val="备注"/>
      <sheetName val="model"/>
      <sheetName val="PFR Stats"/>
      <sheetName val="56271-2"/>
      <sheetName val="GLOBAL"/>
      <sheetName val="Import (CAPTIVA)"/>
      <sheetName val="贵金属行情"/>
      <sheetName val="6月超库龄"/>
      <sheetName val="Calculations_Parameters"/>
      <sheetName val="系统数据"/>
      <sheetName val="开发类型"/>
      <sheetName val="零部件类型"/>
      <sheetName val="PSS责任分工"/>
      <sheetName val="Lead"/>
      <sheetName val="大纲量-12.24"/>
      <sheetName val="降本分析--成本横向对比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COVER"/>
      <sheetName val="Models"/>
      <sheetName val="Notes Rec Retrieve"/>
      <sheetName val="Cht-Allion Fisher"/>
      <sheetName val="Starting Vehicle Database"/>
      <sheetName val="Sheet24"/>
      <sheetName val="More Info"/>
      <sheetName val="Instructions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SGM62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SGM620-02__Fcst"/>
      <sheetName val="Category_Definition"/>
      <sheetName val="LUQ03_1"/>
      <sheetName val="Income_Statement1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B"/>
      <sheetName val="Proposed Grand Am Content"/>
      <sheetName val="科目余额表"/>
      <sheetName val="1.기안지"/>
      <sheetName val="2.대외공문"/>
      <sheetName val="YS02-02"/>
      <sheetName val="Depreciation"/>
      <sheetName val="Investment Input"/>
      <sheetName val="Volume Input"/>
      <sheetName val="CM_Rev_Input"/>
      <sheetName val="Program_Info"/>
      <sheetName val="Struct Cost Input"/>
      <sheetName val="Terminal Value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Program Spending"/>
      <sheetName val="長計対比"/>
      <sheetName val="FAB별"/>
      <sheetName val="PV6_3_5L_LX5_GMX1706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진행_DATA_(2)3"/>
      <sheetName val="High_Feaure_V6_Costbook3"/>
      <sheetName val="??_DATA_(2)3"/>
      <sheetName val="PV6_3_5L_LX5_GMX1707"/>
      <sheetName val="Agreed_Features3"/>
      <sheetName val="___DATA_(2)3"/>
      <sheetName val="series_pricing3"/>
      <sheetName val="ATS_Summary3"/>
      <sheetName val="SW_maturity_Status_Definitions3"/>
      <sheetName val="L_EQ3"/>
      <sheetName val="规则_rule2"/>
      <sheetName val="TC_20021"/>
      <sheetName val="TC_20051"/>
      <sheetName val="名称管理器"/>
      <sheetName val="参考科目及二级部门清单"/>
      <sheetName val="標時"/>
      <sheetName val="PFR_Stats"/>
      <sheetName val="PV6_3_5L_LX5_GMX1708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진행_DATA_(2)4"/>
      <sheetName val="High_Feaure_V6_Costbook4"/>
      <sheetName val="??_DATA_(2)4"/>
      <sheetName val="PV6_3_5L_LX5_GMX1709"/>
      <sheetName val="Agreed_Features4"/>
      <sheetName val="___DATA_(2)4"/>
      <sheetName val="series_pricing4"/>
      <sheetName val="ATS_Summary4"/>
      <sheetName val="SW_maturity_Status_Definitions4"/>
      <sheetName val="L_EQ4"/>
      <sheetName val="规则_rule3"/>
      <sheetName val="TC_20022"/>
      <sheetName val="TC_20052"/>
      <sheetName val="LUQ03_2"/>
      <sheetName val="Income_Statement2"/>
      <sheetName val="Risk list new"/>
      <sheetName val="Control"/>
      <sheetName val="IP"/>
      <sheetName val="PV6_3_5L_LX5_GMX17010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진행_DATA_(2)5"/>
      <sheetName val="High_Feaure_V6_Costbook5"/>
      <sheetName val="??_DATA_(2)5"/>
      <sheetName val="PV6_3_5L_LX5_GMX17011"/>
      <sheetName val="___DATA_(2)5"/>
      <sheetName val="ATS_Summary5"/>
      <sheetName val="Agreed_Features5"/>
      <sheetName val="series_pricing5"/>
      <sheetName val="SW_maturity_Status_Definitions5"/>
      <sheetName val="规则_rule4"/>
      <sheetName val="LUQ03_3"/>
      <sheetName val="L_EQ5"/>
      <sheetName val="Income_Statement3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SGM62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Investment_Input"/>
      <sheetName val="Volume_Input"/>
      <sheetName val="Struct_Cost_Input"/>
      <sheetName val="Terminal_Value"/>
      <sheetName val="Loan_&amp;_Interest"/>
      <sheetName val="Key_Assumption"/>
      <sheetName val="w_facelift"/>
      <sheetName val="Program_Spending"/>
      <sheetName val="Risk_list_new"/>
      <sheetName val="メーカー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"/>
      <sheetName val="Tbom-tot"/>
      <sheetName val="GM-FINANCE"/>
      <sheetName val="Direct Labour"/>
      <sheetName val="Operating Plan Changes"/>
      <sheetName val="化工材料信息记录"/>
      <sheetName val="企业表一"/>
      <sheetName val="MtE+CO"/>
      <sheetName val="Master PPL"/>
      <sheetName val="2_O_S510K"/>
      <sheetName val="合同及资金报表（设备）"/>
      <sheetName val="Arrivals"/>
      <sheetName val="2001 Industry Mix"/>
      <sheetName val="Share SAAR"/>
      <sheetName val="Perunit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94_Qtr"/>
      <sheetName val="R&amp;O"/>
      <sheetName val="YTY Industry"/>
      <sheetName val="Workplans"/>
      <sheetName val="WS"/>
      <sheetName val="Absol"/>
      <sheetName val="USD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喷漆件入库"/>
      <sheetName val="Lists"/>
      <sheetName val="Finance Sheet"/>
      <sheetName val="明细"/>
      <sheetName val="联系人"/>
      <sheetName val="aprtakes"/>
      <sheetName val="下拉清单选项"/>
      <sheetName val="99oh"/>
      <sheetName val="현금경비중역"/>
      <sheetName val="ALLBIGPARTK8(no_door)rev11.21"/>
      <sheetName val="原始数据"/>
      <sheetName val="资产负债表"/>
      <sheetName val="#REF!"/>
      <sheetName val="Allgemein"/>
      <sheetName val="Technologieliste"/>
      <sheetName val="計画"/>
      <sheetName val="统计"/>
      <sheetName val="Operating_Plan_Changes"/>
      <sheetName val="Code"/>
      <sheetName val="hide-context"/>
      <sheetName val="Non-Statistical Sampling Master"/>
      <sheetName val="June"/>
      <sheetName val="CPCDef"/>
      <sheetName val="보고서"/>
      <sheetName val="7整车成本"/>
      <sheetName val="三级表-1月"/>
      <sheetName val="宝鸡价格"/>
      <sheetName val="春晓价格"/>
      <sheetName val="清单"/>
      <sheetName val="生涯利益計画ｼｰﾄ"/>
      <sheetName val="総合B"/>
      <sheetName val="统计图表 statistics chart"/>
      <sheetName val="调整原因"/>
      <sheetName val="美日管理费用6"/>
      <sheetName val="J48 Summary"/>
      <sheetName val="E"/>
      <sheetName val="Consol FS"/>
      <sheetName val="低压抄表"/>
      <sheetName val="Overtime"/>
      <sheetName val="PRESENT"/>
      <sheetName val="Sheet516"/>
      <sheetName val="Sheet519"/>
      <sheetName val="Parameter"/>
      <sheetName val="Sheet521"/>
      <sheetName val="MessageList"/>
      <sheetName val="Sheet443"/>
      <sheetName val="菜单"/>
      <sheetName val="封面"/>
      <sheetName val="采购成本汇总"/>
      <sheetName val="Prüfstandskostensätze"/>
      <sheetName val="OP"/>
      <sheetName val="Sheet450"/>
      <sheetName val="Vols&amp;Fixed Costs"/>
      <sheetName val="寄售材料"/>
      <sheetName val="C214 9306#25"/>
      <sheetName val="Piston-synthetic"/>
      <sheetName val="Sheet531"/>
      <sheetName val="検索条件メイク"/>
      <sheetName val="公文フォーム"/>
      <sheetName val="Issues List"/>
      <sheetName val="附2-开发费预算部门"/>
      <sheetName val="原価要素ﾏｽﾀｰ"/>
      <sheetName val="Sheet442"/>
      <sheetName val="月度抄表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LUQ03-20170704 "/>
      <sheetName val="PV6_3_5L_LX5_GMX17012"/>
      <sheetName val="Costbook_by_HRC6"/>
      <sheetName val="Costbook_Review6"/>
      <sheetName val="Chg_Review_-_Not_in_CB6"/>
      <sheetName val="Changes_in_Costbook_-_Base_FWD6"/>
      <sheetName val="Change_Summary6"/>
      <sheetName val="LC_Cost_of_Engine_Variants6"/>
      <sheetName val="New_Costbook__-_Base_FWD6"/>
      <sheetName val="Target_EAS_and_Dress6"/>
      <sheetName val="Target_Lifecycle_Costs_(700day6"/>
      <sheetName val="Lifecycle_Costs_(400day)6"/>
      <sheetName val="Lifecycle_Costs_(700day)6"/>
      <sheetName val="Lifecycle_Costs_(1300day)6"/>
      <sheetName val="Main_Tooling6"/>
      <sheetName val="Tooling_Detail6"/>
      <sheetName val="Tooling_Rebill_(700day)6"/>
      <sheetName val="Tooling_Rebill_(700day_Q's)6"/>
      <sheetName val="Selected_Component6"/>
      <sheetName val="진행_DATA_(2)6"/>
      <sheetName val="High_Feaure_V6_Costbook6"/>
      <sheetName val="??_DATA_(2)6"/>
      <sheetName val="PV6_3_5L_LX5_GMX17013"/>
      <sheetName val="___DATA_(2)6"/>
      <sheetName val="ATS_Summary6"/>
      <sheetName val="Agreed_Features6"/>
      <sheetName val="series_pricing6"/>
      <sheetName val="SW_maturity_Status_Definitions6"/>
      <sheetName val="规则_rule5"/>
      <sheetName val="L_EQ6"/>
      <sheetName val="LUQ03_4"/>
      <sheetName val="Income_Statement4"/>
      <sheetName val="TC_20024"/>
      <sheetName val="TC_20054"/>
      <sheetName val="PFR_Stats2"/>
      <sheetName val="Import_(CAPTIVA)3"/>
      <sheetName val="Costbook_Review_not_in_CB3"/>
      <sheetName val="Chg_Rvw_Booked_-_Base_FWD3"/>
      <sheetName val="Costbook_Review_in_CB3"/>
      <sheetName val="Target_to_Status_Reconciliatio3"/>
      <sheetName val="Status_Costbook__FWD_LY73"/>
      <sheetName val="Costbook_-_Target_EAS_and_Dres3"/>
      <sheetName val="Current_Status_@_1,300day3"/>
      <sheetName val="#1_Lifecycle_Costs_(700day)3"/>
      <sheetName val="#2_Lifecycle_Costs_(1300day)3"/>
      <sheetName val="#3_Lifecycle_Costs_(400day)3"/>
      <sheetName val="Notes_Rec_Retrieve2"/>
      <sheetName val="Cht-Allion_Fisher2"/>
      <sheetName val="Starting_Vehicle_Database2"/>
      <sheetName val="More_Info3"/>
      <sheetName val="Drop_Downs2"/>
      <sheetName val="Travel_Rate3"/>
      <sheetName val="investment_walk_0905122"/>
      <sheetName val="SGM610-02__Fcst2"/>
      <sheetName val="SGM620-02__Fcst2"/>
      <sheetName val="Category_Definition2"/>
      <sheetName val="SUMMARY_POSITION_(2)1"/>
      <sheetName val="Fleet_Retail_split1"/>
      <sheetName val="Proposed_Grand_Am_Content1"/>
      <sheetName val="1_기안지1"/>
      <sheetName val="2_대외공문1"/>
      <sheetName val="Investment_Input1"/>
      <sheetName val="Volume_Input1"/>
      <sheetName val="Struct_Cost_Input1"/>
      <sheetName val="Terminal_Value1"/>
      <sheetName val="Loan_&amp;_Interest1"/>
      <sheetName val="Key_Assumption1"/>
      <sheetName val="w_facelift1"/>
      <sheetName val="Program_Spending1"/>
      <sheetName val="大纲量-12_241"/>
      <sheetName val="Risk_list_new1"/>
      <sheetName val="S20_Net_Sale_Walk"/>
      <sheetName val="Key_Info"/>
      <sheetName val="Price_Range"/>
      <sheetName val="Operating_Plan_Changes1"/>
      <sheetName val="Master_PPL"/>
      <sheetName val="2001_Industry_Mix"/>
      <sheetName val="Share_SAAR"/>
      <sheetName val="4-Series_-_Control_Model"/>
      <sheetName val="2002_Matrix"/>
      <sheetName val="2001_Matrix"/>
      <sheetName val="Wsales_Summary"/>
      <sheetName val="Production_Variance"/>
      <sheetName val="YTY_Analysis"/>
      <sheetName val="XG_PU"/>
      <sheetName val="APPENDIX_Financial_IS"/>
      <sheetName val="A1_Market_Rep_2004_&amp;_2005"/>
      <sheetName val="Cash_Flow"/>
      <sheetName val="J97_CKD"/>
      <sheetName val="BU_Reco"/>
      <sheetName val="2002_SSRD"/>
      <sheetName val="YTY_Industry"/>
      <sheetName val="Mfg__Cost"/>
      <sheetName val="98_Targets_wo_yen_sharing"/>
      <sheetName val="2001_Calendar"/>
      <sheetName val="Wsales_Target"/>
      <sheetName val="2000_SSRD"/>
      <sheetName val="Retail_Spider"/>
      <sheetName val="Runout_SSRD"/>
      <sheetName val="1996_FPV_(Retail)"/>
      <sheetName val="NM_Cash_SUMMARY"/>
      <sheetName val="(1)-PROFIT_SUM_"/>
      <sheetName val="Falcon_Fam_SSRD"/>
      <sheetName val="Sched_Sum"/>
      <sheetName val="VARIANCE_ANALYSIS"/>
      <sheetName val="2000_Matrix"/>
      <sheetName val="Sedan_Mix"/>
      <sheetName val="Daily_UPD"/>
      <sheetName val="2001_SSRD"/>
      <sheetName val="Finance_Sheet"/>
      <sheetName val="Direct_Labour"/>
      <sheetName val="ALLBIGPARTK8(no_door)rev11_21"/>
      <sheetName val="Non-Statistical_Sampling_Master"/>
      <sheetName val="J48_Summary"/>
      <sheetName val="Consol_FS"/>
      <sheetName val="统计图表_statistics_chart"/>
      <sheetName val="Vols&amp;Fixed_Costs"/>
      <sheetName val="C214_9306#25"/>
      <sheetName val="Issues_List"/>
      <sheetName val="Gantt"/>
      <sheetName val="COVER Page"/>
      <sheetName val="Sheet5"/>
      <sheetName val="图表"/>
      <sheetName val="Tyler-Ext"/>
      <sheetName val="소상 &quot;1&quot;"/>
      <sheetName val="OPER. EXPENSES"/>
      <sheetName val="pfx_prov"/>
      <sheetName val="M-5C"/>
      <sheetName val="M-5A"/>
      <sheetName val="FloorPlan"/>
      <sheetName val="Tracker"/>
      <sheetName val="COVER_Page"/>
      <sheetName val="RCL MY2 24mth"/>
      <sheetName val="GLCN_Data"/>
      <sheetName val="附表"/>
      <sheetName val="费用预算项码表"/>
      <sheetName val="前提1-综合"/>
      <sheetName val="Top22(GER)"/>
      <sheetName val="LUQ03-20170704_"/>
      <sheetName val="29、费用比较"/>
      <sheetName val="EURO"/>
      <sheetName val="CPI"/>
      <sheetName val="so-021"/>
      <sheetName val="R&amp;D"/>
      <sheetName val="名簿データ"/>
      <sheetName val="Smart View INPUT"/>
      <sheetName val="CBU"/>
      <sheetName val="分类"/>
      <sheetName val="3.2 人力成本标准费用"/>
      <sheetName val="公司各月报表"/>
      <sheetName val="汇总明细"/>
      <sheetName val="宁波合同"/>
      <sheetName val="发动机变速成本"/>
      <sheetName val="H9非承载"/>
      <sheetName val="备库类别"/>
      <sheetName val="Specs"/>
      <sheetName val="有效性底表"/>
      <sheetName val="ESM ver2"/>
      <sheetName val="市场价收入"/>
      <sheetName val="提车销量"/>
      <sheetName val="车型毛利率变动"/>
      <sheetName val="往来款"/>
      <sheetName val="直接材料"/>
      <sheetName val="BDD_Traitement"/>
      <sheetName val="Couleurs"/>
      <sheetName val="1.3-a"/>
      <sheetName val="2019科目余额"/>
      <sheetName val="Bid and cash"/>
      <sheetName val="ROCE"/>
      <sheetName val="Result"/>
      <sheetName val="Retail P&amp;L"/>
      <sheetName val="不含直接"/>
      <sheetName val="EurotoolsXRates"/>
      <sheetName val="GB-IC Villingen GG"/>
      <sheetName val="分月度采购成本对比表"/>
      <sheetName val="Main"/>
      <sheetName val="Alert"/>
      <sheetName val="产量大纲24"/>
      <sheetName val="产量滚动量24"/>
      <sheetName val="正式报汇总表-底稿"/>
      <sheetName val="正式报-选型包维度"/>
      <sheetName val="Travelling_Local"/>
      <sheetName val="到票情况汇总-财务"/>
      <sheetName val="4月单台"/>
      <sheetName val="现货发货量"/>
      <sheetName val="期货发货量"/>
      <sheetName val="2.4月选装明细"/>
      <sheetName val="General Assumption"/>
      <sheetName val="BlueCross table"/>
      <sheetName val="3f Volume, Mix &amp; Option rate"/>
      <sheetName val="P.2 Price Strategy"/>
      <sheetName val="2f Pricing Strategy"/>
      <sheetName val="calc data"/>
      <sheetName val="字段名"/>
      <sheetName val="Pricing 2"/>
      <sheetName val="Option"/>
      <sheetName val="基础数据"/>
      <sheetName val="RCL MY2"/>
      <sheetName val="SUM14ZC1"/>
      <sheetName val="Help"/>
      <sheetName val="hidden_pull_list329"/>
      <sheetName val="(A1, A2, B)"/>
      <sheetName val="hidden"/>
      <sheetName val="Reg Detail"/>
      <sheetName val="Terminal"/>
      <sheetName val="资源数据源"/>
      <sheetName val="项目设备投入"/>
      <sheetName val="项目工装投入"/>
      <sheetName val="项目专用模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  <sheetName val="项目设备投入"/>
      <sheetName val="Multicore_wire"/>
      <sheetName val="Cavity_Seal"/>
      <sheetName val="Cavity_Plug"/>
      <sheetName val="Heat_Shrink_Sleeve"/>
      <sheetName val="项目设备投入_"/>
      <sheetName val="PV6_3_5L_LX5_GMX170"/>
      <sheetName val="Multicore_wire1"/>
      <sheetName val="Cavity_Seal1"/>
      <sheetName val="Cavity_Plug1"/>
      <sheetName val="Heat_Shrink_Sleeve1"/>
      <sheetName val="项目设备投入_1"/>
      <sheetName val="PV6_3_5L_LX5_GMX17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WEIGHT"/>
      <sheetName val="Term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配置明细"/>
      <sheetName val="项目研发费用"/>
      <sheetName val="包装物流费用"/>
      <sheetName val="业务（数据自动）"/>
      <sheetName val="配置明细BOM"/>
      <sheetName val="配置BOM"/>
      <sheetName val="Sheet2"/>
      <sheetName val="资源数据源"/>
      <sheetName val="报价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项目信息"/>
      <sheetName val="项目评估汇总-新基准"/>
      <sheetName val="项目设备投入 "/>
      <sheetName val="项目工装投入 "/>
      <sheetName val="项目专用模具 "/>
      <sheetName val="项目研发费用"/>
      <sheetName val="包装物流费用"/>
      <sheetName val="业务（数据自动）"/>
      <sheetName val="配置明细"/>
      <sheetName val="Sheet2"/>
      <sheetName val="配置BOM "/>
      <sheetName val="资源数据源"/>
      <sheetName val="项目工装投入"/>
      <sheetName val="项目专用模具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検索条件"/>
      <sheetName val="rpt03"/>
      <sheetName val="rpt01"/>
      <sheetName val="rpt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项目报价信息"/>
      <sheetName val="可行性分析"/>
      <sheetName val="项目评估汇总（标准工时）"/>
      <sheetName val="项目评估汇总（出勤工时）"/>
      <sheetName val="客户报价逻辑"/>
      <sheetName val="运营工时费"/>
      <sheetName val="期间费用"/>
      <sheetName val="设备投资明细"/>
      <sheetName val="专用模具投资明细"/>
      <sheetName val="项目工装投入"/>
      <sheetName val="研发费用"/>
      <sheetName val="包装物流费用"/>
      <sheetName val="配置明细"/>
      <sheetName val="配置BOM明细"/>
      <sheetName val="二次物料明细"/>
      <sheetName val="量纲"/>
      <sheetName val="总成件"/>
      <sheetName val="项目设备投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  <sheetName val="项目信息"/>
      <sheetName val="项目评估汇总 现铜52.73"/>
      <sheetName val="优化前 -VAVE 项目评估汇总 现铜72"/>
      <sheetName val="优化后- 项目评估汇总 现铜72  "/>
      <sheetName val="Sheet3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附件"/>
      <sheetName val="包装物流费用"/>
      <sheetName val="业务（数据自动）"/>
      <sheetName val="配置明细"/>
      <sheetName val="KSK线束BOM明细（含导线余量）"/>
      <sheetName val="成本明细"/>
      <sheetName val="资源数据源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项目损益分析"/>
      <sheetName val="项目评估汇总"/>
      <sheetName val="客户逻辑报价明细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费-业务"/>
      <sheetName val="包装物流费用"/>
      <sheetName val="业务（数据自动）"/>
      <sheetName val="配置明细"/>
      <sheetName val="BOM明细V2"/>
      <sheetName val="二次物料明细"/>
      <sheetName val="Terminal"/>
      <sheetName val="资源数据源"/>
      <sheetName val="项目设备投入"/>
      <sheetName val="项目工装投入"/>
      <sheetName val="PV6 3.5L LX5 GMX17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资源数据源"/>
      <sheetName val="项目工装投入"/>
      <sheetName val="设备投资明细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0"/>
  <sheetViews>
    <sheetView topLeftCell="A19" workbookViewId="0">
      <selection activeCell="A1" sqref="A1"/>
    </sheetView>
  </sheetViews>
  <sheetFormatPr defaultColWidth="8.88888888888889" defaultRowHeight="15"/>
  <cols>
    <col min="1" max="1" width="2.77777777777778" style="530" customWidth="1"/>
    <col min="2" max="2" width="32.4444444444444" style="530" customWidth="1"/>
    <col min="3" max="3" width="22.4444444444444" style="531" customWidth="1"/>
    <col min="4" max="4" width="7.22222222222222" style="530" customWidth="1"/>
    <col min="5" max="5" width="22.4444444444444" style="531" customWidth="1"/>
    <col min="6" max="6" width="7.22222222222222" style="530" customWidth="1"/>
    <col min="7" max="7" width="34" style="530" customWidth="1"/>
    <col min="8" max="8" width="25.8888888888889" style="162" customWidth="1"/>
    <col min="9" max="9" width="18.4444444444444" style="530" customWidth="1"/>
    <col min="10" max="16384" width="8.88888888888889" style="530"/>
  </cols>
  <sheetData>
    <row r="1" ht="6.6" customHeight="1"/>
    <row r="2" ht="17.4" spans="2:10">
      <c r="B2" s="532" t="e">
        <v>#REF!</v>
      </c>
      <c r="G2" s="533"/>
      <c r="H2" s="534"/>
    </row>
    <row r="3" ht="8.4" customHeight="1" spans="2:10">
      <c r="B3" s="535"/>
      <c r="C3" s="536"/>
      <c r="D3" s="535"/>
      <c r="E3" s="536"/>
      <c r="F3" s="535"/>
      <c r="G3" s="535"/>
      <c r="H3" s="537"/>
      <c r="J3" s="538"/>
    </row>
    <row r="4" ht="28.2" customHeight="1" spans="2:10">
      <c r="B4" s="539" t="s">
        <v>0</v>
      </c>
      <c r="C4" s="540" t="s">
        <v>1</v>
      </c>
      <c r="D4" s="541"/>
      <c r="E4" s="540" t="s">
        <v>2</v>
      </c>
      <c r="F4" s="541"/>
      <c r="G4" s="542" t="s">
        <v>3</v>
      </c>
      <c r="H4" s="543"/>
      <c r="I4" s="544"/>
      <c r="J4" s="538"/>
    </row>
    <row r="5" ht="10.2" customHeight="1" spans="2:10">
      <c r="B5" s="545"/>
      <c r="C5" s="546"/>
      <c r="D5" s="547"/>
      <c r="E5" s="546"/>
      <c r="F5" s="547"/>
      <c r="G5" s="548"/>
      <c r="H5" s="543"/>
      <c r="I5" s="544"/>
      <c r="J5" s="538"/>
    </row>
    <row r="6" ht="17.4" customHeight="1" spans="2:10">
      <c r="B6" s="549"/>
      <c r="C6" s="550" t="s">
        <v>4</v>
      </c>
      <c r="D6" s="551" t="s">
        <v>5</v>
      </c>
      <c r="E6" s="550" t="s">
        <v>4</v>
      </c>
      <c r="F6" s="551" t="s">
        <v>5</v>
      </c>
      <c r="G6" s="552"/>
      <c r="H6" s="543"/>
      <c r="J6" s="538"/>
    </row>
    <row r="7" ht="15.6" spans="2:10">
      <c r="B7" s="553" t="s">
        <v>6</v>
      </c>
      <c r="C7" s="554">
        <v>450000</v>
      </c>
      <c r="D7" s="555"/>
      <c r="E7" s="554">
        <f>C7</f>
        <v>450000</v>
      </c>
      <c r="F7" s="555"/>
      <c r="G7" s="556"/>
      <c r="H7" s="557"/>
    </row>
    <row r="8" ht="15.6" hidden="1" customHeight="1" spans="2:10">
      <c r="B8" s="558" t="s">
        <v>7</v>
      </c>
      <c r="C8" s="559">
        <v>450000</v>
      </c>
      <c r="D8" s="555"/>
      <c r="E8" s="559"/>
      <c r="F8" s="555"/>
      <c r="G8" s="560"/>
      <c r="H8" s="557"/>
    </row>
    <row r="9" s="162" customFormat="1" ht="15.6" spans="2:10">
      <c r="B9" s="561" t="s">
        <v>8</v>
      </c>
      <c r="C9" s="562" t="e">
        <f>C29*3600/C10</f>
        <v>#REF!</v>
      </c>
      <c r="D9" s="563"/>
      <c r="E9" s="562" t="e">
        <f>E29*3600/E10</f>
        <v>#REF!</v>
      </c>
      <c r="F9" s="563"/>
      <c r="G9" s="564"/>
      <c r="H9" s="565"/>
    </row>
    <row r="10" s="162" customFormat="1" ht="15.6" spans="2:10">
      <c r="B10" s="561" t="s">
        <v>9</v>
      </c>
      <c r="C10" s="554">
        <v>2305</v>
      </c>
      <c r="D10" s="566"/>
      <c r="E10" s="554">
        <f>C10</f>
        <v>2305</v>
      </c>
      <c r="F10" s="566"/>
      <c r="G10" s="567"/>
      <c r="H10" s="568"/>
    </row>
    <row r="11" s="162" customFormat="1" ht="15.6" spans="2:10">
      <c r="B11" s="569" t="s">
        <v>10</v>
      </c>
      <c r="C11" s="570">
        <f>C14/C10</f>
        <v>2.95010845986985</v>
      </c>
      <c r="D11" s="571"/>
      <c r="E11" s="570">
        <f>E14/E10</f>
        <v>2.95010845986985</v>
      </c>
      <c r="F11" s="571"/>
      <c r="G11" s="572"/>
      <c r="H11" s="568"/>
    </row>
    <row r="12" s="162" customFormat="1" ht="15.6" spans="2:10">
      <c r="B12" s="561" t="s">
        <v>11</v>
      </c>
      <c r="C12" s="562">
        <v>52.2753446503895</v>
      </c>
      <c r="D12" s="563"/>
      <c r="E12" s="562">
        <v>52.2753446503895</v>
      </c>
      <c r="F12" s="563"/>
      <c r="G12" s="567"/>
      <c r="H12" s="568"/>
    </row>
    <row r="13" s="162" customFormat="1" ht="15.6" spans="2:10">
      <c r="B13" s="561" t="s">
        <v>12</v>
      </c>
      <c r="C13" s="573" t="e">
        <f>C33/C29</f>
        <v>#REF!</v>
      </c>
      <c r="D13" s="574"/>
      <c r="E13" s="573" t="e">
        <f>E33/E29</f>
        <v>#REF!</v>
      </c>
      <c r="F13" s="574"/>
      <c r="G13" s="567"/>
      <c r="H13" s="568"/>
    </row>
    <row r="14" ht="15.6" spans="2:10">
      <c r="B14" s="569" t="s">
        <v>13</v>
      </c>
      <c r="C14" s="575">
        <v>6800</v>
      </c>
      <c r="D14" s="576"/>
      <c r="E14" s="575">
        <f>C14</f>
        <v>6800</v>
      </c>
      <c r="F14" s="576"/>
      <c r="G14" s="577"/>
      <c r="H14" s="578"/>
    </row>
    <row r="15" ht="16.2" hidden="1" customHeight="1" spans="2:10">
      <c r="B15" s="558" t="s">
        <v>14</v>
      </c>
      <c r="C15" s="579">
        <v>2475000000</v>
      </c>
      <c r="D15" s="580"/>
      <c r="E15" s="579"/>
      <c r="F15" s="580"/>
      <c r="G15" s="581"/>
      <c r="H15" s="578"/>
    </row>
    <row r="16" ht="16.2" hidden="1" customHeight="1" spans="2:10">
      <c r="B16" s="558" t="s">
        <v>15</v>
      </c>
      <c r="C16" s="579"/>
      <c r="D16" s="582"/>
      <c r="E16" s="579"/>
      <c r="F16" s="582"/>
      <c r="G16" s="581"/>
      <c r="H16" s="578"/>
    </row>
    <row r="17" ht="16.2" hidden="1" customHeight="1" spans="2:9">
      <c r="B17" s="583" t="s">
        <v>16</v>
      </c>
      <c r="C17" s="584">
        <v>-0.00404040404040404</v>
      </c>
      <c r="D17" s="585"/>
      <c r="E17" s="584"/>
      <c r="F17" s="585"/>
      <c r="G17" s="586"/>
      <c r="H17" s="587"/>
    </row>
    <row r="18" ht="15.6" spans="2:9">
      <c r="B18" s="588" t="s">
        <v>17</v>
      </c>
      <c r="C18" s="589">
        <v>10000000</v>
      </c>
      <c r="D18" s="590"/>
      <c r="E18" s="589">
        <v>10000000</v>
      </c>
      <c r="F18" s="590"/>
      <c r="G18" s="591"/>
      <c r="H18" s="587"/>
    </row>
    <row r="19" ht="15.6" spans="2:9">
      <c r="B19" s="583" t="s">
        <v>18</v>
      </c>
      <c r="C19" s="592" t="e">
        <f>(C14-C26)*C7</f>
        <v>#REF!</v>
      </c>
      <c r="D19" s="593"/>
      <c r="E19" s="592" t="e">
        <f>(E14-E26)*E7</f>
        <v>#REF!</v>
      </c>
      <c r="F19" s="593"/>
      <c r="G19" s="586"/>
      <c r="H19" s="587"/>
    </row>
    <row r="20" ht="16.35" spans="2:9">
      <c r="B20" s="594" t="s">
        <v>19</v>
      </c>
      <c r="C20" s="595" t="e">
        <f>(C14-C27-C33-C34-C47-C50-(C18/C7))/C14</f>
        <v>#REF!</v>
      </c>
      <c r="D20" s="596"/>
      <c r="E20" s="595" t="e">
        <f>(E14-E27-E33-E34-E47-E50-(E18/E7))/E14</f>
        <v>#REF!</v>
      </c>
      <c r="F20" s="596"/>
      <c r="G20" s="597"/>
      <c r="H20" s="587"/>
    </row>
    <row r="21" ht="16.2" hidden="1" customHeight="1" spans="2:9">
      <c r="B21" s="598" t="s">
        <v>20</v>
      </c>
      <c r="C21" s="599"/>
      <c r="D21" s="600"/>
      <c r="E21" s="599"/>
      <c r="F21" s="600"/>
      <c r="G21" s="601"/>
      <c r="H21" s="587"/>
    </row>
    <row r="22" ht="15.6" hidden="1" customHeight="1" spans="2:9">
      <c r="B22" s="602" t="s">
        <v>21</v>
      </c>
      <c r="C22" s="579" t="e">
        <v>#REF!</v>
      </c>
      <c r="D22" s="582"/>
      <c r="E22" s="579"/>
      <c r="F22" s="582"/>
      <c r="G22" s="603"/>
      <c r="H22" s="587"/>
    </row>
    <row r="23" ht="15.6" hidden="1" customHeight="1" spans="2:9">
      <c r="B23" s="602" t="s">
        <v>22</v>
      </c>
      <c r="C23" s="579" t="e">
        <v>#REF!</v>
      </c>
      <c r="D23" s="582"/>
      <c r="E23" s="579"/>
      <c r="F23" s="582"/>
      <c r="G23" s="603"/>
      <c r="H23" s="587"/>
    </row>
    <row r="24" ht="16.2" hidden="1" customHeight="1" spans="2:9">
      <c r="B24" s="604" t="s">
        <v>23</v>
      </c>
      <c r="C24" s="579">
        <v>0</v>
      </c>
      <c r="D24" s="582"/>
      <c r="E24" s="579"/>
      <c r="F24" s="582"/>
      <c r="G24" s="603"/>
      <c r="H24" s="587"/>
    </row>
    <row r="25" ht="16.2" hidden="1" customHeight="1" spans="2:9">
      <c r="B25" s="605" t="s">
        <v>24</v>
      </c>
      <c r="C25" s="606" t="e">
        <v>#REF!</v>
      </c>
      <c r="D25" s="607"/>
      <c r="E25" s="606"/>
      <c r="F25" s="607"/>
      <c r="G25" s="608"/>
      <c r="H25" s="587"/>
    </row>
    <row r="26" ht="15.6" spans="2:9">
      <c r="B26" s="609" t="s">
        <v>25</v>
      </c>
      <c r="C26" s="610" t="e">
        <f>C27+C33+C34+C45+C47+C50</f>
        <v>#REF!</v>
      </c>
      <c r="D26" s="611"/>
      <c r="E26" s="610" t="e">
        <f>E27+E33+E34+E45+E47+E50</f>
        <v>#REF!</v>
      </c>
      <c r="F26" s="611"/>
      <c r="G26" s="612"/>
      <c r="H26" s="613"/>
      <c r="I26" s="613"/>
    </row>
    <row r="27" ht="15.6" spans="2:9">
      <c r="B27" s="614" t="s">
        <v>26</v>
      </c>
      <c r="C27" s="615" t="e">
        <v>#REF!</v>
      </c>
      <c r="D27" s="616" t="e">
        <f>C27/$C$14</f>
        <v>#REF!</v>
      </c>
      <c r="E27" s="615">
        <f>F27*E14</f>
        <v>4624</v>
      </c>
      <c r="F27" s="616">
        <v>0.68</v>
      </c>
      <c r="G27" s="617"/>
      <c r="H27" s="613"/>
    </row>
    <row r="28" ht="15.6" spans="2:9">
      <c r="B28" s="614" t="s">
        <v>27</v>
      </c>
      <c r="C28" s="615">
        <v>1.7353579175705</v>
      </c>
      <c r="D28" s="616"/>
      <c r="E28" s="615">
        <f>E27/E10</f>
        <v>2.0060737527115</v>
      </c>
      <c r="F28" s="616"/>
      <c r="G28" s="618"/>
      <c r="H28" s="619"/>
    </row>
    <row r="29" spans="2:9">
      <c r="B29" s="620" t="s">
        <v>28</v>
      </c>
      <c r="C29" s="621" t="e">
        <f>C30+C31</f>
        <v>#REF!</v>
      </c>
      <c r="D29" s="622"/>
      <c r="E29" s="621" t="e">
        <f>E30+E31</f>
        <v>#REF!</v>
      </c>
      <c r="F29" s="622"/>
      <c r="G29" s="623"/>
      <c r="H29" s="613"/>
    </row>
    <row r="30" spans="2:9">
      <c r="B30" s="624" t="s">
        <v>29</v>
      </c>
      <c r="C30" s="625" t="e">
        <v>#REF!</v>
      </c>
      <c r="D30" s="626"/>
      <c r="E30" s="625" t="e">
        <f>C30</f>
        <v>#REF!</v>
      </c>
      <c r="F30" s="626"/>
      <c r="G30" s="627"/>
      <c r="H30" s="557"/>
    </row>
    <row r="31" spans="2:9">
      <c r="B31" s="628" t="s">
        <v>30</v>
      </c>
      <c r="C31" s="629" t="e">
        <v>#REF!</v>
      </c>
      <c r="D31" s="630"/>
      <c r="E31" s="629" t="e">
        <f>C31</f>
        <v>#REF!</v>
      </c>
      <c r="F31" s="630"/>
      <c r="G31" s="631"/>
      <c r="H31" s="557"/>
    </row>
    <row r="32" ht="15.6" hidden="1" customHeight="1" spans="2:9">
      <c r="B32" s="632" t="s">
        <v>31</v>
      </c>
      <c r="C32" s="629"/>
      <c r="D32" s="630"/>
      <c r="E32" s="629"/>
      <c r="F32" s="630"/>
      <c r="G32" s="631"/>
      <c r="H32" s="557"/>
    </row>
    <row r="33" ht="15.6" spans="2:9">
      <c r="B33" s="633" t="s">
        <v>32</v>
      </c>
      <c r="C33" s="634" t="e">
        <v>#REF!</v>
      </c>
      <c r="D33" s="616" t="e">
        <f t="shared" ref="D33:D45" si="0">C33/$C$14</f>
        <v>#REF!</v>
      </c>
      <c r="E33" s="634" t="e">
        <f>C33</f>
        <v>#REF!</v>
      </c>
      <c r="F33" s="616"/>
      <c r="G33" s="635"/>
      <c r="H33" s="619"/>
      <c r="I33" s="636"/>
    </row>
    <row r="34" ht="15.6" spans="2:9">
      <c r="B34" s="637" t="s">
        <v>33</v>
      </c>
      <c r="C34" s="638" t="e">
        <f>SUM(C35:C40)</f>
        <v>#REF!</v>
      </c>
      <c r="D34" s="616" t="e">
        <f t="shared" si="0"/>
        <v>#REF!</v>
      </c>
      <c r="E34" s="638"/>
      <c r="F34" s="616"/>
      <c r="G34" s="635"/>
      <c r="H34" s="619"/>
    </row>
    <row r="35" ht="15.6" spans="2:9">
      <c r="B35" s="639" t="s">
        <v>34</v>
      </c>
      <c r="C35" s="625" t="e">
        <v>#REF!</v>
      </c>
      <c r="D35" s="616" t="e">
        <f t="shared" si="0"/>
        <v>#REF!</v>
      </c>
      <c r="E35" s="625"/>
      <c r="F35" s="616"/>
      <c r="G35" s="640"/>
      <c r="H35" s="619"/>
    </row>
    <row r="36" ht="15.6" spans="2:9">
      <c r="B36" s="641" t="s">
        <v>35</v>
      </c>
      <c r="C36" s="642">
        <v>4.7988472929151</v>
      </c>
      <c r="D36" s="616">
        <f t="shared" si="0"/>
        <v>0.000705712837193397</v>
      </c>
      <c r="E36" s="642"/>
      <c r="F36" s="616"/>
      <c r="G36" s="643"/>
      <c r="H36" s="619"/>
    </row>
    <row r="37" ht="15.6" spans="2:9">
      <c r="B37" s="641" t="s">
        <v>36</v>
      </c>
      <c r="C37" s="642">
        <v>122.059982687207</v>
      </c>
      <c r="D37" s="616">
        <f t="shared" si="0"/>
        <v>0.017949997454001</v>
      </c>
      <c r="E37" s="642"/>
      <c r="F37" s="616"/>
      <c r="G37" s="643"/>
      <c r="H37" s="619"/>
    </row>
    <row r="38" ht="15.6" spans="2:9">
      <c r="B38" s="641" t="s">
        <v>37</v>
      </c>
      <c r="C38" s="642">
        <v>51.7568831182504</v>
      </c>
      <c r="D38" s="616">
        <f t="shared" si="0"/>
        <v>0.00761130634091918</v>
      </c>
      <c r="E38" s="642"/>
      <c r="F38" s="616"/>
      <c r="G38" s="644"/>
      <c r="H38" s="613"/>
    </row>
    <row r="39" ht="15.6" spans="2:9">
      <c r="B39" s="641" t="s">
        <v>38</v>
      </c>
      <c r="C39" s="642">
        <v>35.3672034641378</v>
      </c>
      <c r="D39" s="616">
        <f t="shared" si="0"/>
        <v>0.00520105933296144</v>
      </c>
      <c r="E39" s="642"/>
      <c r="F39" s="616"/>
      <c r="G39" s="644"/>
      <c r="H39" s="613"/>
    </row>
    <row r="40" ht="15.6" spans="2:9">
      <c r="B40" s="645" t="s">
        <v>39</v>
      </c>
      <c r="C40" s="642">
        <v>26.0940952387846</v>
      </c>
      <c r="D40" s="616">
        <f t="shared" si="0"/>
        <v>0.00383736694688009</v>
      </c>
      <c r="E40" s="642"/>
      <c r="F40" s="616"/>
      <c r="G40" s="646"/>
      <c r="H40" s="613"/>
    </row>
    <row r="41" ht="15.6" hidden="1" customHeight="1" spans="2:9">
      <c r="B41" s="647"/>
      <c r="C41" s="648">
        <v>318.799620154779</v>
      </c>
      <c r="D41" s="616">
        <f t="shared" si="0"/>
        <v>0.0468822970815851</v>
      </c>
      <c r="E41" s="648"/>
      <c r="F41" s="616"/>
      <c r="G41" s="644"/>
      <c r="H41" s="613"/>
    </row>
    <row r="42" ht="15.6" hidden="1" customHeight="1" spans="2:9">
      <c r="B42" s="637" t="s">
        <v>40</v>
      </c>
      <c r="C42" s="638">
        <v>14.6133669126829</v>
      </c>
      <c r="D42" s="616">
        <f t="shared" si="0"/>
        <v>0.00214902454598278</v>
      </c>
      <c r="E42" s="638"/>
      <c r="F42" s="616"/>
      <c r="G42" s="623"/>
      <c r="H42" s="613"/>
    </row>
    <row r="43" ht="15.6" hidden="1" customHeight="1" spans="2:9">
      <c r="B43" s="624" t="s">
        <v>41</v>
      </c>
      <c r="C43" s="625">
        <v>294.702899405772</v>
      </c>
      <c r="D43" s="616">
        <f t="shared" si="0"/>
        <v>0.0433386616773194</v>
      </c>
      <c r="E43" s="625"/>
      <c r="F43" s="616"/>
      <c r="G43" s="649"/>
      <c r="H43" s="613"/>
    </row>
    <row r="44" hidden="1" customHeight="1" spans="2:9">
      <c r="B44" s="650" t="s">
        <v>42</v>
      </c>
      <c r="C44" s="642">
        <v>9.37891500524743</v>
      </c>
      <c r="D44" s="616">
        <f t="shared" si="0"/>
        <v>0.00137925220665403</v>
      </c>
      <c r="E44" s="642"/>
      <c r="F44" s="616"/>
      <c r="G44" s="644"/>
      <c r="H44" s="613"/>
    </row>
    <row r="45" s="529" customFormat="1" ht="15.6" spans="2:9">
      <c r="B45" s="651" t="s">
        <v>43</v>
      </c>
      <c r="C45" s="652">
        <v>0.104438831076846</v>
      </c>
      <c r="D45" s="616">
        <f t="shared" si="0"/>
        <v>1.53586516289479e-5</v>
      </c>
      <c r="E45" s="652"/>
      <c r="F45" s="616"/>
      <c r="G45" s="653"/>
      <c r="H45" s="654"/>
    </row>
    <row r="46" ht="16.2" hidden="1" customHeight="1" spans="2:9">
      <c r="B46" s="628" t="s">
        <v>44</v>
      </c>
      <c r="C46" s="629">
        <v>53.8633369133593</v>
      </c>
      <c r="D46" s="655">
        <v>0.00658743318218173</v>
      </c>
      <c r="E46" s="629"/>
      <c r="F46" s="655"/>
      <c r="G46" s="646"/>
      <c r="H46" s="613"/>
    </row>
    <row r="47" ht="15.6" spans="2:9">
      <c r="B47" s="633" t="s">
        <v>45</v>
      </c>
      <c r="C47" s="638">
        <f>C48+C49</f>
        <v>0</v>
      </c>
      <c r="D47" s="656"/>
      <c r="E47" s="638"/>
      <c r="F47" s="656"/>
      <c r="G47" s="635"/>
      <c r="H47" s="619"/>
    </row>
    <row r="48" spans="2:9">
      <c r="B48" s="624" t="s">
        <v>46</v>
      </c>
      <c r="C48" s="625"/>
      <c r="D48" s="657"/>
      <c r="E48" s="625"/>
      <c r="F48" s="657"/>
      <c r="G48" s="627"/>
      <c r="H48" s="557"/>
    </row>
    <row r="49" ht="15.6" spans="2:8">
      <c r="B49" s="658" t="s">
        <v>47</v>
      </c>
      <c r="C49" s="659"/>
      <c r="D49" s="660"/>
      <c r="E49" s="638"/>
      <c r="F49" s="660"/>
      <c r="G49" s="661"/>
      <c r="H49" s="613"/>
    </row>
    <row r="50" ht="16.35" spans="2:8">
      <c r="B50" s="662" t="s">
        <v>48</v>
      </c>
      <c r="C50" s="663"/>
      <c r="D50" s="664"/>
      <c r="E50" s="663"/>
      <c r="F50" s="664"/>
      <c r="G50" s="665"/>
      <c r="H50" s="613"/>
    </row>
  </sheetData>
  <mergeCells count="5">
    <mergeCell ref="B4:B6"/>
    <mergeCell ref="G4:G6"/>
    <mergeCell ref="I4:I5"/>
    <mergeCell ref="C4:D5"/>
    <mergeCell ref="E4:F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Q41"/>
  <sheetViews>
    <sheetView showGridLines="0" zoomScale="70" zoomScaleNormal="70" workbookViewId="0">
      <pane xSplit="4" ySplit="3" topLeftCell="E21" activePane="bottomRight" state="frozen"/>
      <selection/>
      <selection pane="topRight"/>
      <selection pane="bottomLeft"/>
      <selection pane="bottomRight" activeCell="G39" sqref="G39"/>
    </sheetView>
  </sheetViews>
  <sheetFormatPr defaultColWidth="9" defaultRowHeight="15"/>
  <cols>
    <col min="1" max="1" width="20.6666666666667" style="445" customWidth="1"/>
    <col min="2" max="2" width="22" style="445" customWidth="1"/>
    <col min="3" max="3" width="13.3333333333333" style="445" customWidth="1"/>
    <col min="4" max="4" width="24.1111111111111" style="446" customWidth="1"/>
    <col min="5" max="5" width="23.3333333333333" style="445" customWidth="1"/>
    <col min="6" max="10" width="19.3333333333333" style="445" customWidth="1"/>
    <col min="11" max="13" width="19.3333333333333" style="445" hidden="1" customWidth="1"/>
    <col min="14" max="14" width="17.6666666666667" style="445" customWidth="1"/>
    <col min="15" max="15" width="10.7777777777778" style="447" customWidth="1"/>
    <col min="16" max="17" width="17.8888888888889" style="445" customWidth="1"/>
  </cols>
  <sheetData>
    <row r="1" ht="17.4" spans="1:17">
      <c r="A1" s="448" t="s">
        <v>49</v>
      </c>
      <c r="B1" s="449"/>
      <c r="C1" s="449"/>
      <c r="D1" s="450"/>
      <c r="E1" s="451"/>
      <c r="F1" s="452">
        <v>2026</v>
      </c>
      <c r="G1" s="452">
        <v>2027</v>
      </c>
      <c r="H1" s="452">
        <v>2028</v>
      </c>
      <c r="I1" s="452">
        <v>2029</v>
      </c>
      <c r="J1" s="452">
        <v>2030</v>
      </c>
      <c r="K1" s="452">
        <v>2031</v>
      </c>
      <c r="L1" s="452">
        <v>2032</v>
      </c>
      <c r="M1" s="452">
        <v>2033</v>
      </c>
      <c r="N1" s="453"/>
      <c r="P1" s="453"/>
      <c r="Q1" s="453"/>
    </row>
    <row r="2" ht="17.4" spans="1:17">
      <c r="A2" s="454" t="s">
        <v>50</v>
      </c>
      <c r="B2" s="454"/>
      <c r="C2" s="454"/>
      <c r="D2" s="455"/>
      <c r="E2" s="454" t="s">
        <v>51</v>
      </c>
      <c r="F2" s="454"/>
      <c r="G2" s="454"/>
      <c r="H2" s="454"/>
      <c r="I2" s="456"/>
      <c r="J2" s="456"/>
      <c r="K2" s="456"/>
      <c r="L2" s="456"/>
      <c r="M2" s="456"/>
      <c r="N2" s="454" t="s">
        <v>52</v>
      </c>
      <c r="P2" s="456">
        <v>1</v>
      </c>
      <c r="Q2" s="456">
        <v>2</v>
      </c>
    </row>
    <row r="3" ht="18.15" spans="1:17">
      <c r="A3" s="457"/>
      <c r="B3" s="457"/>
      <c r="C3" s="457" t="s">
        <v>53</v>
      </c>
      <c r="D3" s="458"/>
      <c r="E3" s="457" t="s">
        <v>54</v>
      </c>
      <c r="F3" s="457" t="str">
        <f>"第一年"&amp;F1&amp;"年"</f>
        <v>第一年2026年</v>
      </c>
      <c r="G3" s="457" t="str">
        <f>"第二年"&amp;G1&amp;"年"</f>
        <v>第二年2027年</v>
      </c>
      <c r="H3" s="457" t="str">
        <f>"第三年"&amp;H1&amp;"年"</f>
        <v>第三年2028年</v>
      </c>
      <c r="I3" s="457" t="str">
        <f>"第四年"&amp;I1&amp;"年"</f>
        <v>第四年2029年</v>
      </c>
      <c r="J3" s="457" t="str">
        <f>"第五年"&amp;J1&amp;"年"</f>
        <v>第五年2030年</v>
      </c>
      <c r="K3" s="457" t="str">
        <f>"第六年"&amp;K1&amp;"年"</f>
        <v>第六年2031年</v>
      </c>
      <c r="L3" s="457" t="str">
        <f>"第七年"&amp;L1&amp;"年"</f>
        <v>第七年2032年</v>
      </c>
      <c r="M3" s="457" t="str">
        <f>"第八年"&amp;M1&amp;"年"</f>
        <v>第八年2033年</v>
      </c>
      <c r="N3" s="459"/>
      <c r="P3" s="457" cm="1">
        <f t="array" ref="P3:Q3">TRANSPOSE(配置明细!$B$3:$B$4)</f>
        <v>6608523073</v>
      </c>
      <c r="Q3" s="457">
        <v>6608523072</v>
      </c>
    </row>
    <row r="4" ht="15.6" spans="1:17">
      <c r="A4" s="460" t="s">
        <v>55</v>
      </c>
      <c r="B4" s="460"/>
      <c r="C4" s="460"/>
      <c r="D4" s="461"/>
      <c r="E4" s="462"/>
      <c r="F4" s="462">
        <f>配置明细!P14</f>
        <v>27</v>
      </c>
      <c r="G4" s="462">
        <f t="shared" ref="G4:K4" si="0">F4</f>
        <v>27</v>
      </c>
      <c r="H4" s="462">
        <f t="shared" si="0"/>
        <v>27</v>
      </c>
      <c r="I4" s="462">
        <f t="shared" si="0"/>
        <v>27</v>
      </c>
      <c r="J4" s="462">
        <f t="shared" si="0"/>
        <v>27</v>
      </c>
      <c r="K4" s="462"/>
      <c r="L4" s="462"/>
      <c r="M4" s="462"/>
      <c r="N4" s="463"/>
      <c r="P4" s="462">
        <f>VLOOKUP(P3,配置明细!$B:$P,15,0)</f>
        <v>25</v>
      </c>
      <c r="Q4" s="462">
        <f>VLOOKUP(Q3,配置明细!$B:$P,15,0)</f>
        <v>2</v>
      </c>
    </row>
    <row r="5" ht="15.6" spans="1:17">
      <c r="A5" s="464" t="s">
        <v>6</v>
      </c>
      <c r="B5" s="464"/>
      <c r="C5" s="464"/>
      <c r="D5" s="465"/>
      <c r="E5" s="466">
        <f>SUM(F5:K5)</f>
        <v>201000</v>
      </c>
      <c r="F5" s="466">
        <v>48000</v>
      </c>
      <c r="G5" s="466">
        <v>48000</v>
      </c>
      <c r="H5" s="466">
        <v>42000</v>
      </c>
      <c r="I5" s="466">
        <v>39000</v>
      </c>
      <c r="J5" s="466">
        <v>24000</v>
      </c>
      <c r="K5" s="466"/>
      <c r="L5" s="467"/>
      <c r="M5" s="467"/>
      <c r="P5" s="467">
        <f>P37</f>
        <v>201000</v>
      </c>
      <c r="Q5" s="467">
        <f>Q37</f>
        <v>201000</v>
      </c>
    </row>
    <row r="6" ht="15.6" spans="1:17">
      <c r="A6" s="468" t="s">
        <v>13</v>
      </c>
      <c r="B6" s="468"/>
      <c r="C6" s="464"/>
      <c r="D6" s="465"/>
      <c r="E6" s="469"/>
      <c r="F6" s="470" cm="1">
        <f t="array" ref="F6">SUMPRODUCT(P6:Q6,P35:Q35)</f>
        <v>585.597768307514</v>
      </c>
      <c r="G6" s="470">
        <f>F6</f>
        <v>585.597768307514</v>
      </c>
      <c r="H6" s="470">
        <f>G6</f>
        <v>585.597768307514</v>
      </c>
      <c r="I6" s="470">
        <f>H6</f>
        <v>585.597768307514</v>
      </c>
      <c r="J6" s="470">
        <f>I6</f>
        <v>585.597768307514</v>
      </c>
      <c r="K6" s="470"/>
      <c r="L6" s="471"/>
      <c r="M6" s="471"/>
      <c r="N6" s="472" t="s">
        <v>56</v>
      </c>
      <c r="P6" s="469">
        <f>(P15+P16+P20+P23+P31+P32)/85%</f>
        <v>442.670588303632</v>
      </c>
      <c r="Q6" s="469">
        <f>(Q15+Q16+Q20+Q23+Q31+Q32)/85%</f>
        <v>142.927180003882</v>
      </c>
    </row>
    <row r="7" ht="15.6" hidden="1" spans="1:17">
      <c r="A7" s="468" t="s">
        <v>57</v>
      </c>
      <c r="B7" s="468"/>
      <c r="C7" s="464"/>
      <c r="D7" s="465"/>
      <c r="E7" s="469"/>
      <c r="F7" s="469">
        <f>F6/F4</f>
        <v>21.6888062336116</v>
      </c>
      <c r="G7" s="469">
        <f>G6/G4</f>
        <v>21.6888062336116</v>
      </c>
      <c r="H7" s="469">
        <f>H6/H4</f>
        <v>21.6888062336116</v>
      </c>
      <c r="I7" s="469">
        <f>I6/I4</f>
        <v>21.6888062336116</v>
      </c>
      <c r="J7" s="469">
        <f>I7</f>
        <v>21.6888062336116</v>
      </c>
      <c r="K7" s="469"/>
      <c r="L7" s="469"/>
      <c r="M7" s="469"/>
      <c r="N7" s="473">
        <f>(E9-E13)/E5</f>
        <v>585.597768307514</v>
      </c>
      <c r="P7" s="469">
        <f>P6/P4</f>
        <v>17.7068235321453</v>
      </c>
      <c r="Q7" s="469">
        <f>Q6/Q4</f>
        <v>71.4635900019408</v>
      </c>
    </row>
    <row r="8" ht="15.6" hidden="1" spans="1:17">
      <c r="A8" s="474" t="s">
        <v>58</v>
      </c>
      <c r="B8" s="474"/>
      <c r="C8" s="475"/>
      <c r="D8" s="476"/>
      <c r="E8" s="477"/>
      <c r="F8" s="477">
        <f>(配置明细!L14+配置明细!M14+配置明细!N14)*3600/F4</f>
        <v>213.066666666667</v>
      </c>
      <c r="G8" s="477">
        <f>F8</f>
        <v>213.066666666667</v>
      </c>
      <c r="H8" s="477">
        <f>G8</f>
        <v>213.066666666667</v>
      </c>
      <c r="I8" s="477">
        <f>H8</f>
        <v>213.066666666667</v>
      </c>
      <c r="J8" s="477">
        <f>I8</f>
        <v>213.066666666667</v>
      </c>
      <c r="K8" s="477"/>
      <c r="L8" s="477"/>
      <c r="M8" s="477"/>
      <c r="N8" s="478"/>
      <c r="P8" s="477"/>
      <c r="Q8" s="477"/>
    </row>
    <row r="9" ht="15.6" spans="1:17">
      <c r="A9" s="468" t="s">
        <v>14</v>
      </c>
      <c r="B9" s="468"/>
      <c r="C9" s="464"/>
      <c r="D9" s="465"/>
      <c r="E9" s="466">
        <f>SUM(F9:M9)</f>
        <v>117705151.42981</v>
      </c>
      <c r="F9" s="466">
        <f>F6*F5</f>
        <v>28108692.8787607</v>
      </c>
      <c r="G9" s="466">
        <f t="shared" ref="G9:K9" si="1">G6*G5</f>
        <v>28108692.8787607</v>
      </c>
      <c r="H9" s="466">
        <f t="shared" si="1"/>
        <v>24595106.2689156</v>
      </c>
      <c r="I9" s="466">
        <f t="shared" si="1"/>
        <v>22838312.963993</v>
      </c>
      <c r="J9" s="466">
        <f t="shared" si="1"/>
        <v>14054346.4393803</v>
      </c>
      <c r="K9" s="466"/>
      <c r="L9" s="466"/>
      <c r="M9" s="466"/>
      <c r="N9" s="479">
        <f>E9/E5</f>
        <v>585.597768307514</v>
      </c>
      <c r="P9" s="466">
        <f>P6*P5</f>
        <v>88976788.24903</v>
      </c>
      <c r="Q9" s="466">
        <f>Q6*Q5</f>
        <v>28728363.1807802</v>
      </c>
    </row>
    <row r="10" ht="15.6" hidden="1" spans="1:17">
      <c r="A10" s="468" t="s">
        <v>15</v>
      </c>
      <c r="B10" s="468"/>
      <c r="C10" s="464"/>
      <c r="D10" s="465"/>
      <c r="E10" s="466">
        <f>E9-E14</f>
        <v>17655772.7144715</v>
      </c>
      <c r="F10" s="466">
        <f t="shared" ref="F10:K10" si="2">(F6-F14)*F5</f>
        <v>4216303.9318141</v>
      </c>
      <c r="G10" s="466">
        <f t="shared" si="2"/>
        <v>4216303.9318141</v>
      </c>
      <c r="H10" s="466">
        <f t="shared" si="2"/>
        <v>3689265.94033734</v>
      </c>
      <c r="I10" s="480">
        <f t="shared" si="2"/>
        <v>3425746.94459895</v>
      </c>
      <c r="J10" s="480">
        <f t="shared" si="2"/>
        <v>2108151.96590705</v>
      </c>
      <c r="K10" s="480"/>
      <c r="L10" s="480"/>
      <c r="M10" s="480"/>
      <c r="P10" s="466">
        <f>(P6-P14)*P5</f>
        <v>13346518.2373545</v>
      </c>
      <c r="Q10" s="466">
        <f>(Q6-Q14)*Q5</f>
        <v>4309254.47711703</v>
      </c>
    </row>
    <row r="11" ht="16.35" spans="1:17">
      <c r="A11" s="468" t="s">
        <v>19</v>
      </c>
      <c r="B11" s="468"/>
      <c r="C11" s="464"/>
      <c r="D11" s="465"/>
      <c r="E11" s="481">
        <f>(E9-E15-E16-E20-E23-E13-E31-E32)/E9</f>
        <v>0.150000000000001</v>
      </c>
      <c r="F11" s="481">
        <f>((F6-F15-F16-F20-F23)-(F13/F5)-F31-F32)/F6</f>
        <v>0.15</v>
      </c>
      <c r="G11" s="481">
        <f>((G6-G15-G16-G20-G23)-(G13/G5)-G31-G32)/G6</f>
        <v>0.15</v>
      </c>
      <c r="H11" s="481">
        <f t="shared" ref="H11:K11" si="3">((H6-H15-H16-H20-H23)-(H13/H5)-H31-H32)/H6</f>
        <v>0.15</v>
      </c>
      <c r="I11" s="481">
        <f t="shared" si="3"/>
        <v>0.15</v>
      </c>
      <c r="J11" s="481">
        <f t="shared" si="3"/>
        <v>0.15</v>
      </c>
      <c r="K11" s="481"/>
      <c r="L11" s="482"/>
      <c r="M11" s="482"/>
      <c r="N11" s="483"/>
      <c r="P11" s="482">
        <f>((P6-P15-P16-P20-P23)-(P13/P5)-P31-P32)/P6</f>
        <v>0.15</v>
      </c>
      <c r="Q11" s="482">
        <f>((Q6-Q15-Q16-Q20-Q23)-(Q13/Q5)-Q31-Q32)/Q6</f>
        <v>0.15</v>
      </c>
    </row>
    <row r="12" ht="15.6" hidden="1" spans="1:17">
      <c r="A12" s="464" t="s">
        <v>18</v>
      </c>
      <c r="B12" s="464"/>
      <c r="C12" s="464"/>
      <c r="D12" s="465"/>
      <c r="E12" s="466">
        <f>E11*E9</f>
        <v>17655772.7144716</v>
      </c>
      <c r="F12" s="466">
        <f>F11*F9</f>
        <v>4216303.9318141</v>
      </c>
      <c r="G12" s="466">
        <f t="shared" ref="G12:K12" si="4">G11*G9</f>
        <v>4216303.9318141</v>
      </c>
      <c r="H12" s="466">
        <f t="shared" si="4"/>
        <v>3689265.94033734</v>
      </c>
      <c r="I12" s="466">
        <f t="shared" si="4"/>
        <v>3425746.94459895</v>
      </c>
      <c r="J12" s="466">
        <f t="shared" si="4"/>
        <v>2108151.96590705</v>
      </c>
      <c r="K12" s="466"/>
      <c r="L12" s="466"/>
      <c r="M12" s="466"/>
      <c r="P12" s="466">
        <f>P11*P9</f>
        <v>13346518.2373545</v>
      </c>
      <c r="Q12" s="466">
        <f>Q11*Q9</f>
        <v>4309254.47711703</v>
      </c>
    </row>
    <row r="13" ht="16.35" hidden="1" spans="1:17">
      <c r="A13" s="484" t="s">
        <v>17</v>
      </c>
      <c r="B13" s="484"/>
      <c r="C13" s="484"/>
      <c r="D13" s="485"/>
      <c r="E13" s="486">
        <f>SUM(F13:J13)</f>
        <v>0</v>
      </c>
      <c r="F13" s="486"/>
      <c r="G13" s="486"/>
      <c r="H13" s="486"/>
      <c r="I13" s="486"/>
      <c r="J13" s="486"/>
      <c r="K13" s="486"/>
      <c r="L13" s="487"/>
      <c r="M13" s="487"/>
      <c r="N13" s="488"/>
      <c r="P13" s="487"/>
      <c r="Q13" s="487"/>
    </row>
    <row r="14" customHeight="1" spans="1:17">
      <c r="A14" s="489" t="s">
        <v>25</v>
      </c>
      <c r="B14" s="489"/>
      <c r="C14" s="489"/>
      <c r="D14" s="490"/>
      <c r="E14" s="491">
        <f>F14*$F$5+G14*$G$5+H14*$H$5+$I$5*I14+J14*$J$5+K14*$K$5+L14*$L$5+M14*$M$5</f>
        <v>100049378.715339</v>
      </c>
      <c r="F14" s="491">
        <f>F16+F15+F20+F23+F31+F32</f>
        <v>497.758103061387</v>
      </c>
      <c r="G14" s="491">
        <f t="shared" ref="G14:M14" si="5">G16+G15+G20+G23+G31+G32</f>
        <v>497.758103061387</v>
      </c>
      <c r="H14" s="491">
        <f t="shared" si="5"/>
        <v>497.758103061387</v>
      </c>
      <c r="I14" s="491">
        <f t="shared" si="5"/>
        <v>497.758103061387</v>
      </c>
      <c r="J14" s="491">
        <f t="shared" si="5"/>
        <v>497.758103061387</v>
      </c>
      <c r="K14" s="491"/>
      <c r="L14" s="491">
        <f t="shared" si="5"/>
        <v>0</v>
      </c>
      <c r="M14" s="491">
        <f t="shared" si="5"/>
        <v>0</v>
      </c>
      <c r="N14" s="492">
        <f>(E14/$E$5)/($N$7-$E$13/$E$5)</f>
        <v>0.85</v>
      </c>
      <c r="O14" s="447" cm="1">
        <f t="array" ref="O14">SUMPRODUCT(P14:Q14,$P$35:$Q$35)-J14</f>
        <v>0</v>
      </c>
      <c r="P14" s="491">
        <f>P16+P15+P20+P23+P31+P32</f>
        <v>376.270000058087</v>
      </c>
      <c r="Q14" s="491">
        <f>Q16+Q15+Q20+Q23+Q31+Q32</f>
        <v>121.488103003299</v>
      </c>
    </row>
    <row r="15" customHeight="1" spans="1:17">
      <c r="A15" s="493" t="s">
        <v>26</v>
      </c>
      <c r="B15" s="493"/>
      <c r="C15" s="494"/>
      <c r="D15" s="495" t="s">
        <v>59</v>
      </c>
      <c r="E15" s="496">
        <f>F15*$F$5+G15*$G$5+H15*$H$5+$I$5*I15+J15*$J$5+K15*$K$5+L15*$L$5+M15*$M$5</f>
        <v>77813356.7470949</v>
      </c>
      <c r="F15" s="496">
        <f>配置明细!G14</f>
        <v>387.131128095</v>
      </c>
      <c r="G15" s="496">
        <f t="shared" ref="G15:K15" si="6">F15</f>
        <v>387.131128095</v>
      </c>
      <c r="H15" s="496">
        <f t="shared" si="6"/>
        <v>387.131128095</v>
      </c>
      <c r="I15" s="497">
        <f t="shared" ref="I15:I29" si="7">H15</f>
        <v>387.131128095</v>
      </c>
      <c r="J15" s="496">
        <f t="shared" ref="J15:J29" si="8">I15</f>
        <v>387.131128095</v>
      </c>
      <c r="K15" s="496"/>
      <c r="L15" s="496"/>
      <c r="M15" s="496"/>
      <c r="N15" s="498">
        <f t="shared" ref="N15:N32" si="9">(E15/$E$5)/($N$7-$E$13/$E$5)</f>
        <v>0.661087096035015</v>
      </c>
      <c r="O15" s="447" cm="1">
        <f t="array" ref="O15">SUMPRODUCT(P15:Q15,$P$35:$Q$35)-J15</f>
        <v>0</v>
      </c>
      <c r="P15" s="496">
        <f>VLOOKUP(P3,配置明细!$B$2:$G$13,6,0)</f>
        <v>296.279969357</v>
      </c>
      <c r="Q15" s="496">
        <f>VLOOKUP(Q3,配置明细!$B$2:$G$13,6,0)</f>
        <v>90.851158738</v>
      </c>
    </row>
    <row r="16" customHeight="1" spans="1:17">
      <c r="A16" s="499" t="s">
        <v>32</v>
      </c>
      <c r="B16" s="499"/>
      <c r="C16" s="500"/>
      <c r="D16" s="501"/>
      <c r="E16" s="502">
        <f t="shared" ref="E16:E32" si="10">F16*$F$5+G16*$G$5+H16*$H$5+$I$5*I16+J16*$J$5+K16*$K$5+L16*$L$5+M16*$M$5</f>
        <v>9376443.08314101</v>
      </c>
      <c r="F16" s="502">
        <f>F17+F18+F19</f>
        <v>46.6489705628906</v>
      </c>
      <c r="G16" s="502">
        <f>G17+G18+G19</f>
        <v>46.6489705628906</v>
      </c>
      <c r="H16" s="502">
        <f>H17+H18+H19</f>
        <v>46.6489705628906</v>
      </c>
      <c r="I16" s="503">
        <f t="shared" si="7"/>
        <v>46.6489705628906</v>
      </c>
      <c r="J16" s="502">
        <f t="shared" si="8"/>
        <v>46.6489705628906</v>
      </c>
      <c r="K16" s="502"/>
      <c r="L16" s="502"/>
      <c r="M16" s="502"/>
      <c r="N16" s="504">
        <f t="shared" si="9"/>
        <v>0.0796604309092823</v>
      </c>
      <c r="O16" s="447" cm="1">
        <f t="array" ref="O16">SUMPRODUCT(P16:Q16,$P$35:$Q$35)-J16</f>
        <v>0</v>
      </c>
      <c r="P16" s="502">
        <f>P17+P18+P19</f>
        <v>32.8703009097715</v>
      </c>
      <c r="Q16" s="502">
        <f>Q17+Q18+Q19</f>
        <v>13.7786696531191</v>
      </c>
    </row>
    <row r="17" customHeight="1" spans="1:17">
      <c r="A17" s="505"/>
      <c r="B17" s="506" t="s">
        <v>60</v>
      </c>
      <c r="C17" s="507" t="s">
        <v>61</v>
      </c>
      <c r="D17" s="508" t="s">
        <v>62</v>
      </c>
      <c r="E17" s="509">
        <f t="shared" si="10"/>
        <v>0</v>
      </c>
      <c r="F17" s="510">
        <f>配置明细!L14*运营工时费报价基准!E8/运营工时费报价基准!$M$5</f>
        <v>0</v>
      </c>
      <c r="G17" s="510">
        <f t="shared" ref="G17:K17" si="11">F17</f>
        <v>0</v>
      </c>
      <c r="H17" s="510">
        <f t="shared" si="11"/>
        <v>0</v>
      </c>
      <c r="I17" s="510">
        <f t="shared" si="7"/>
        <v>0</v>
      </c>
      <c r="J17" s="510">
        <f t="shared" si="8"/>
        <v>0</v>
      </c>
      <c r="K17" s="510"/>
      <c r="L17" s="510"/>
      <c r="M17" s="510"/>
      <c r="N17" s="511">
        <f t="shared" si="9"/>
        <v>0</v>
      </c>
      <c r="O17" s="447" cm="1">
        <f t="array" ref="O17">SUMPRODUCT(P17:Q17,$P$35:$Q$35)-J17</f>
        <v>0</v>
      </c>
      <c r="P17" s="510">
        <f>VLOOKUP(P3,配置明细!$B$2:$L$14,11,0)*运营工时费报价基准!$D$6/运营工时费报价基准!$M$5</f>
        <v>0</v>
      </c>
      <c r="Q17" s="510">
        <f>VLOOKUP(Q3,配置明细!$B$2:$L$14,11,0)*运营工时费报价基准!$D$6/运营工时费报价基准!$M$5</f>
        <v>0</v>
      </c>
    </row>
    <row r="18" customHeight="1" spans="1:17">
      <c r="A18" s="505"/>
      <c r="B18" s="506" t="s">
        <v>63</v>
      </c>
      <c r="C18" s="507" t="s">
        <v>64</v>
      </c>
      <c r="D18" s="508" t="s">
        <v>65</v>
      </c>
      <c r="E18" s="509">
        <f t="shared" si="10"/>
        <v>5597701.31496653</v>
      </c>
      <c r="F18" s="510">
        <f>配置明细!M14*运营工时费报价基准!$E$8/运营工时费报价基准!$M$5</f>
        <v>27.8492602734653</v>
      </c>
      <c r="G18" s="510">
        <f t="shared" ref="G18:K18" si="12">F18</f>
        <v>27.8492602734653</v>
      </c>
      <c r="H18" s="510">
        <f t="shared" si="12"/>
        <v>27.8492602734653</v>
      </c>
      <c r="I18" s="509">
        <f t="shared" si="7"/>
        <v>27.8492602734653</v>
      </c>
      <c r="J18" s="510">
        <f t="shared" si="8"/>
        <v>27.8492602734653</v>
      </c>
      <c r="K18" s="510"/>
      <c r="L18" s="510"/>
      <c r="M18" s="510"/>
      <c r="N18" s="511">
        <f t="shared" si="9"/>
        <v>0.04755697815235</v>
      </c>
      <c r="O18" s="447" cm="1">
        <f t="array" ref="O18">SUMPRODUCT(P18:Q18,$P$35:$Q$35)-J18</f>
        <v>3.90798504668055e-14</v>
      </c>
      <c r="P18" s="510">
        <f>VLOOKUP(P3,配置明细!$B$2:$M$14,12,0)*运营工时费报价基准!$E$8/运营工时费报价基准!$M$5</f>
        <v>18.6537498058117</v>
      </c>
      <c r="Q18" s="510">
        <f>VLOOKUP(Q3,配置明细!$B$2:$M$14,12,0)*运营工时费报价基准!$E$8/运营工时费报价基准!$M$5</f>
        <v>9.19551046765365</v>
      </c>
    </row>
    <row r="19" customHeight="1" spans="1:17">
      <c r="A19" s="505"/>
      <c r="B19" s="506" t="s">
        <v>66</v>
      </c>
      <c r="C19" s="507" t="s">
        <v>67</v>
      </c>
      <c r="D19" s="508" t="s">
        <v>68</v>
      </c>
      <c r="E19" s="509">
        <f t="shared" si="10"/>
        <v>3778741.76817447</v>
      </c>
      <c r="F19" s="510">
        <f>配置明细!N14*运营工时费报价基准!$E$8/运营工时费报价基准!$M$5</f>
        <v>18.7997102894252</v>
      </c>
      <c r="G19" s="510">
        <f t="shared" ref="G19:K19" si="13">F19</f>
        <v>18.7997102894252</v>
      </c>
      <c r="H19" s="510">
        <f t="shared" si="13"/>
        <v>18.7997102894252</v>
      </c>
      <c r="I19" s="509">
        <f t="shared" si="7"/>
        <v>18.7997102894252</v>
      </c>
      <c r="J19" s="510">
        <f t="shared" si="8"/>
        <v>18.7997102894252</v>
      </c>
      <c r="K19" s="510"/>
      <c r="L19" s="510"/>
      <c r="M19" s="510"/>
      <c r="N19" s="511">
        <f t="shared" si="9"/>
        <v>0.0321034527569323</v>
      </c>
      <c r="O19" s="447" cm="1">
        <f t="array" ref="O19">SUMPRODUCT(P19:Q19,$P$35:$Q$35)-J19</f>
        <v>3.90798504668055e-14</v>
      </c>
      <c r="P19" s="510">
        <f>VLOOKUP(P3,配置明细!$B$2:$N$14,13,0)*运营工时费报价基准!$E$8/运营工时费报价基准!$M$5</f>
        <v>14.2165511039598</v>
      </c>
      <c r="Q19" s="510">
        <f>VLOOKUP(Q3,配置明细!$B$2:$N$14,13,0)*运营工时费报价基准!$E$8/运营工时费报价基准!$M$5</f>
        <v>4.58315918546547</v>
      </c>
    </row>
    <row r="20" customHeight="1" spans="1:17">
      <c r="A20" s="499" t="s">
        <v>45</v>
      </c>
      <c r="B20" s="499"/>
      <c r="C20" s="499"/>
      <c r="D20" s="512"/>
      <c r="E20" s="502">
        <f t="shared" si="10"/>
        <v>2968152.13916</v>
      </c>
      <c r="F20" s="502">
        <f>F21+F22</f>
        <v>14.7669260654726</v>
      </c>
      <c r="G20" s="502">
        <f>G21+G22</f>
        <v>14.7669260654726</v>
      </c>
      <c r="H20" s="502">
        <f>H21+H22</f>
        <v>14.7669260654726</v>
      </c>
      <c r="I20" s="503">
        <f t="shared" si="7"/>
        <v>14.7669260654726</v>
      </c>
      <c r="J20" s="502">
        <f t="shared" si="8"/>
        <v>14.7669260654726</v>
      </c>
      <c r="K20" s="502"/>
      <c r="L20" s="502"/>
      <c r="M20" s="502"/>
      <c r="N20" s="504">
        <f t="shared" si="9"/>
        <v>0.0252168414305126</v>
      </c>
      <c r="O20" s="447" cm="1">
        <f t="array" ref="O20">SUMPRODUCT(P20:Q20,$P$35:$Q$35)-J20</f>
        <v>0</v>
      </c>
      <c r="P20" s="502">
        <f>P21+P22</f>
        <v>9.80301298069652</v>
      </c>
      <c r="Q20" s="502">
        <f>Q21+Q22</f>
        <v>4.96391308477611</v>
      </c>
    </row>
    <row r="21" customHeight="1" spans="1:17">
      <c r="A21" s="513"/>
      <c r="B21" s="513" t="s">
        <v>46</v>
      </c>
      <c r="C21" s="508"/>
      <c r="D21" s="514" t="s">
        <v>69</v>
      </c>
      <c r="E21" s="509">
        <f t="shared" si="10"/>
        <v>1769533.13916</v>
      </c>
      <c r="F21" s="510">
        <f>设备投资明细!K20</f>
        <v>8.80364745850746</v>
      </c>
      <c r="G21" s="510">
        <f>F21</f>
        <v>8.80364745850746</v>
      </c>
      <c r="H21" s="510">
        <f>G21</f>
        <v>8.80364745850746</v>
      </c>
      <c r="I21" s="509">
        <f t="shared" si="7"/>
        <v>8.80364745850746</v>
      </c>
      <c r="J21" s="510">
        <f t="shared" si="8"/>
        <v>8.80364745850746</v>
      </c>
      <c r="K21" s="510"/>
      <c r="L21" s="510"/>
      <c r="M21" s="510"/>
      <c r="N21" s="511">
        <f t="shared" si="9"/>
        <v>0.0150336082802222</v>
      </c>
      <c r="O21" s="447" cm="1">
        <f t="array" ref="O21">SUMPRODUCT(P21:Q21,$P$35:$Q$35)-J21</f>
        <v>0</v>
      </c>
      <c r="P21" s="510">
        <f>设备投资明细!Q20</f>
        <v>5.85430153791045</v>
      </c>
      <c r="Q21" s="510">
        <f>设备投资明细!R20</f>
        <v>2.94934592059701</v>
      </c>
    </row>
    <row r="22" customHeight="1" spans="1:17">
      <c r="A22" s="513"/>
      <c r="B22" s="513" t="s">
        <v>47</v>
      </c>
      <c r="C22" s="508"/>
      <c r="D22" s="514" t="s">
        <v>70</v>
      </c>
      <c r="E22" s="509">
        <f t="shared" si="10"/>
        <v>1198619</v>
      </c>
      <c r="F22" s="510">
        <f>设备投资明细!J29+项目专用模具!L11+'项目工装投入 '!L16</f>
        <v>5.96327860696517</v>
      </c>
      <c r="G22" s="510">
        <f>F22</f>
        <v>5.96327860696517</v>
      </c>
      <c r="H22" s="510">
        <f>G22</f>
        <v>5.96327860696517</v>
      </c>
      <c r="I22" s="510">
        <f t="shared" si="7"/>
        <v>5.96327860696517</v>
      </c>
      <c r="J22" s="510">
        <f t="shared" si="8"/>
        <v>5.96327860696517</v>
      </c>
      <c r="K22" s="510"/>
      <c r="L22" s="510"/>
      <c r="M22" s="510"/>
      <c r="N22" s="511">
        <f t="shared" si="9"/>
        <v>0.0101832331502904</v>
      </c>
      <c r="O22" s="447" cm="1">
        <f t="array" ref="O22">SUMPRODUCT(P22:Q22,$P$35:$Q$35)-J22</f>
        <v>0</v>
      </c>
      <c r="P22" s="510">
        <f>设备投资明细!Q29+项目专用模具!O10+'项目工装投入 '!O15</f>
        <v>3.94871144278607</v>
      </c>
      <c r="Q22" s="510">
        <f>设备投资明细!R29+项目专用模具!P10+'项目工装投入 '!P15</f>
        <v>2.0145671641791</v>
      </c>
    </row>
    <row r="23" customHeight="1" spans="1:17">
      <c r="A23" s="499" t="s">
        <v>71</v>
      </c>
      <c r="B23" s="499"/>
      <c r="C23" s="499"/>
      <c r="D23" s="512"/>
      <c r="E23" s="502">
        <f t="shared" si="10"/>
        <v>5260466.26302285</v>
      </c>
      <c r="F23" s="502">
        <f t="shared" ref="F23:K23" si="14">F24+F25+F26+F27+F28+F29+F30</f>
        <v>26.1714739453873</v>
      </c>
      <c r="G23" s="502">
        <f t="shared" si="14"/>
        <v>26.1714739453873</v>
      </c>
      <c r="H23" s="502">
        <f t="shared" si="14"/>
        <v>26.1714739453873</v>
      </c>
      <c r="I23" s="502">
        <f t="shared" si="14"/>
        <v>26.1714739453873</v>
      </c>
      <c r="J23" s="502">
        <f t="shared" si="14"/>
        <v>26.1714739453873</v>
      </c>
      <c r="K23" s="502"/>
      <c r="L23" s="502"/>
      <c r="M23" s="502"/>
      <c r="N23" s="504">
        <f t="shared" si="9"/>
        <v>0.0446918949521064</v>
      </c>
      <c r="O23" s="447" cm="1">
        <f t="array" ref="O23">SUMPRODUCT(P23:Q23,$P$35:$Q$35)-J23</f>
        <v>-3.5527136788005e-14</v>
      </c>
      <c r="P23" s="502">
        <f>P24+P25+P26+P27+P28+P29+P30</f>
        <v>18.5587036085692</v>
      </c>
      <c r="Q23" s="502">
        <f>Q24+Q25+Q26+Q27+Q28+Q29+Q30</f>
        <v>7.61277033681804</v>
      </c>
    </row>
    <row r="24" customHeight="1" spans="1:17">
      <c r="A24" s="515"/>
      <c r="B24" s="515" t="s">
        <v>34</v>
      </c>
      <c r="C24" s="513" t="s">
        <v>72</v>
      </c>
      <c r="D24" s="516" t="s">
        <v>73</v>
      </c>
      <c r="E24" s="509">
        <f t="shared" si="10"/>
        <v>2079440.63879737</v>
      </c>
      <c r="F24" s="510">
        <f>(配置明细!$L$14+配置明细!$M$14+配置明细!$N$14)*运营工时费报价基准!E10</f>
        <v>10.3454758149123</v>
      </c>
      <c r="G24" s="510">
        <f t="shared" ref="G24:G29" si="15">F24</f>
        <v>10.3454758149123</v>
      </c>
      <c r="H24" s="510">
        <f t="shared" ref="H24:H29" si="16">G24</f>
        <v>10.3454758149123</v>
      </c>
      <c r="I24" s="509">
        <f t="shared" si="7"/>
        <v>10.3454758149123</v>
      </c>
      <c r="J24" s="510">
        <f t="shared" si="8"/>
        <v>10.3454758149123</v>
      </c>
      <c r="K24" s="510"/>
      <c r="L24" s="510"/>
      <c r="M24" s="510"/>
      <c r="N24" s="511">
        <f t="shared" si="9"/>
        <v>0.0176665219282045</v>
      </c>
      <c r="O24" s="447" cm="1">
        <f t="array" ref="O24">SUMPRODUCT(P24:Q24,$P$35:$Q$35)-J24</f>
        <v>-2.30926389122033e-14</v>
      </c>
      <c r="P24" s="510">
        <f>(VLOOKUP(P$3,配置明细!$B$2:$L$14,11,0)+VLOOKUP(P$3,配置明细!$B$3:$M$14,12,0)+VLOOKUP(P$3,配置明细!$B$3:$N$14,13,0))*运营工时费报价基准!$E$10</f>
        <v>7.28974078072042</v>
      </c>
      <c r="Q24" s="510">
        <f>(VLOOKUP(Q$3,配置明细!$B$2:$L$14,11,0)+VLOOKUP(Q$3,配置明细!$B$3:$M$14,12,0)+VLOOKUP(Q$3,配置明细!$B$3:$N$14,13,0))*运营工时费报价基准!$E$10</f>
        <v>3.05573503419186</v>
      </c>
    </row>
    <row r="25" customHeight="1" spans="1:17">
      <c r="A25" s="515"/>
      <c r="B25" s="515" t="s">
        <v>74</v>
      </c>
      <c r="C25" s="513" t="s">
        <v>72</v>
      </c>
      <c r="D25" s="516" t="s">
        <v>73</v>
      </c>
      <c r="E25" s="509">
        <f t="shared" si="10"/>
        <v>163876.355602632</v>
      </c>
      <c r="F25" s="510">
        <f>(配置明细!$L$14+配置明细!$M$14+配置明细!$N$14)*运营工时费报价基准!E11</f>
        <v>0.815305251754387</v>
      </c>
      <c r="G25" s="510">
        <f t="shared" si="15"/>
        <v>0.815305251754387</v>
      </c>
      <c r="H25" s="510">
        <f t="shared" si="16"/>
        <v>0.815305251754387</v>
      </c>
      <c r="I25" s="509">
        <f t="shared" si="7"/>
        <v>0.815305251754387</v>
      </c>
      <c r="J25" s="510">
        <f t="shared" si="8"/>
        <v>0.815305251754387</v>
      </c>
      <c r="K25" s="510"/>
      <c r="L25" s="510"/>
      <c r="M25" s="510"/>
      <c r="N25" s="511">
        <f t="shared" si="9"/>
        <v>0.0013922615417589</v>
      </c>
      <c r="O25" s="447" cm="1">
        <f t="array" ref="O25">SUMPRODUCT(P25:Q25,$P$35:$Q$35)-J25</f>
        <v>0</v>
      </c>
      <c r="P25" s="510">
        <f>(VLOOKUP(P$3,配置明细!$B$2:$L$14,11,0)+VLOOKUP(P$3,配置明细!$B$3:$M$14,12,0)+VLOOKUP(P$3,配置明细!$B$3:$N$14,13,0))*运营工时费报价基准!$E$11</f>
        <v>0.57448918240015</v>
      </c>
      <c r="Q25" s="510">
        <f>(VLOOKUP(Q$3,配置明细!$B$2:$L$14,11,0)+VLOOKUP(Q$3,配置明细!$B$3:$M$14,12,0)+VLOOKUP(Q$3,配置明细!$B$3:$N$14,13,0))*运营工时费报价基准!$E$11</f>
        <v>0.240816069354237</v>
      </c>
    </row>
    <row r="26" customHeight="1" spans="1:17">
      <c r="A26" s="515"/>
      <c r="B26" s="515" t="s">
        <v>36</v>
      </c>
      <c r="C26" s="513" t="s">
        <v>72</v>
      </c>
      <c r="D26" s="516" t="s">
        <v>73</v>
      </c>
      <c r="E26" s="509">
        <f t="shared" si="10"/>
        <v>772510.189539473</v>
      </c>
      <c r="F26" s="510">
        <f>(配置明细!$L$14+配置明细!$M$14+配置明细!$N$14)*运营工时费报价基准!E12</f>
        <v>3.84333427631579</v>
      </c>
      <c r="G26" s="510">
        <f t="shared" si="15"/>
        <v>3.84333427631579</v>
      </c>
      <c r="H26" s="510">
        <f t="shared" si="16"/>
        <v>3.84333427631579</v>
      </c>
      <c r="I26" s="509">
        <f t="shared" si="7"/>
        <v>3.84333427631579</v>
      </c>
      <c r="J26" s="510">
        <f t="shared" si="8"/>
        <v>3.84333427631579</v>
      </c>
      <c r="K26" s="510"/>
      <c r="L26" s="510"/>
      <c r="M26" s="510"/>
      <c r="N26" s="511">
        <f t="shared" si="9"/>
        <v>0.00656309583867394</v>
      </c>
      <c r="O26" s="447" cm="1">
        <f t="array" ref="O26">SUMPRODUCT(P26:Q26,$P$35:$Q$35)-J26</f>
        <v>0</v>
      </c>
      <c r="P26" s="510">
        <f>(VLOOKUP(P$3,配置明细!$B$2:$L$14,11,0)+VLOOKUP(P$3,配置明细!$B$3:$M$14,12,0)+VLOOKUP(P$3,配置明细!$B$3:$N$14,13,0))*运营工时费报价基准!$E$12</f>
        <v>2.70813166153415</v>
      </c>
      <c r="Q26" s="510">
        <f>(VLOOKUP(Q$3,配置明细!$B$2:$L$14,11,0)+VLOOKUP(Q$3,配置明细!$B$3:$M$14,12,0)+VLOOKUP(Q$3,配置明细!$B$3:$N$14,13,0))*运营工时费报价基准!$E$12</f>
        <v>1.13520261478163</v>
      </c>
    </row>
    <row r="27" customHeight="1" spans="1:17">
      <c r="A27" s="515"/>
      <c r="B27" s="515" t="s">
        <v>37</v>
      </c>
      <c r="C27" s="513" t="s">
        <v>72</v>
      </c>
      <c r="D27" s="516" t="s">
        <v>73</v>
      </c>
      <c r="E27" s="509">
        <f t="shared" si="10"/>
        <v>1240910.52631579</v>
      </c>
      <c r="F27" s="510">
        <f>(配置明细!$L$14+配置明细!$M$14+配置明细!$N$14)*运营工时费报价基准!E13</f>
        <v>6.17368421052632</v>
      </c>
      <c r="G27" s="510">
        <f t="shared" si="15"/>
        <v>6.17368421052632</v>
      </c>
      <c r="H27" s="510">
        <f t="shared" si="16"/>
        <v>6.17368421052632</v>
      </c>
      <c r="I27" s="509">
        <f t="shared" si="7"/>
        <v>6.17368421052632</v>
      </c>
      <c r="J27" s="510">
        <f t="shared" si="8"/>
        <v>6.17368421052632</v>
      </c>
      <c r="K27" s="510"/>
      <c r="L27" s="510"/>
      <c r="M27" s="510"/>
      <c r="N27" s="511">
        <f t="shared" si="9"/>
        <v>0.0105425337059761</v>
      </c>
      <c r="O27" s="447" cm="1">
        <f t="array" ref="O27">SUMPRODUCT(P27:Q27,$P$35:$Q$35)-J27</f>
        <v>0</v>
      </c>
      <c r="P27" s="510">
        <f>(VLOOKUP(P$3,配置明细!$B$2:$L$14,11,0)+VLOOKUP(P$3,配置明细!$B$3:$M$14,12,0)+VLOOKUP(P$3,配置明细!$B$3:$N$14,13,0))*运营工时费报价基准!$E$13</f>
        <v>4.3501679731243</v>
      </c>
      <c r="Q27" s="510">
        <f>(VLOOKUP(Q$3,配置明细!$B$2:$L$14,11,0)+VLOOKUP(Q$3,配置明细!$B$3:$M$14,12,0)+VLOOKUP(Q$3,配置明细!$B$3:$N$14,13,0))*运营工时费报价基准!$E$13</f>
        <v>1.82351623740202</v>
      </c>
    </row>
    <row r="28" customHeight="1" spans="1:17">
      <c r="A28" s="515"/>
      <c r="B28" s="515" t="s">
        <v>38</v>
      </c>
      <c r="C28" s="513" t="s">
        <v>72</v>
      </c>
      <c r="D28" s="516" t="s">
        <v>73</v>
      </c>
      <c r="E28" s="509">
        <f t="shared" si="10"/>
        <v>77840.2275505263</v>
      </c>
      <c r="F28" s="510">
        <f>(配置明细!$L$14+配置明细!$M$14+配置明细!$N$14)*运营工时费报价基准!E14</f>
        <v>0.38726481368421</v>
      </c>
      <c r="G28" s="510">
        <f t="shared" si="15"/>
        <v>0.38726481368421</v>
      </c>
      <c r="H28" s="510">
        <f t="shared" si="16"/>
        <v>0.38726481368421</v>
      </c>
      <c r="I28" s="509">
        <f t="shared" si="7"/>
        <v>0.38726481368421</v>
      </c>
      <c r="J28" s="510">
        <f t="shared" si="8"/>
        <v>0.38726481368421</v>
      </c>
      <c r="K28" s="510"/>
      <c r="L28" s="510"/>
      <c r="M28" s="510"/>
      <c r="N28" s="511">
        <f t="shared" si="9"/>
        <v>0.000661315385137955</v>
      </c>
      <c r="O28" s="447" cm="1">
        <f t="array" ref="O28">SUMPRODUCT(P28:Q28,$P$35:$Q$35)-J28</f>
        <v>4.9960036108132e-16</v>
      </c>
      <c r="P28" s="510">
        <f>(VLOOKUP(P$3,配置明细!$B$2:$L$14,11,0)+VLOOKUP(P$3,配置明细!$B$3:$M$14,12,0)+VLOOKUP(P$3,配置明细!$B$3:$N$14,13,0))*运营工时费报价基准!$E$14</f>
        <v>0.272878711019037</v>
      </c>
      <c r="Q28" s="510">
        <f>(VLOOKUP(Q$3,配置明细!$B$2:$L$14,11,0)+VLOOKUP(Q$3,配置明细!$B$3:$M$14,12,0)+VLOOKUP(Q$3,配置明细!$B$3:$N$14,13,0))*运营工时费报价基准!$E$14</f>
        <v>0.114386102665174</v>
      </c>
    </row>
    <row r="29" customHeight="1" spans="1:17">
      <c r="A29" s="515"/>
      <c r="B29" s="515" t="s">
        <v>39</v>
      </c>
      <c r="C29" s="513" t="s">
        <v>72</v>
      </c>
      <c r="D29" s="516" t="s">
        <v>73</v>
      </c>
      <c r="E29" s="509">
        <f t="shared" si="10"/>
        <v>536821.541481581</v>
      </c>
      <c r="F29" s="510">
        <f>(配置明细!$L$14+配置明细!$M$14+配置明细!$N$14)*运营工时费报价基准!E15</f>
        <v>2.67075393771931</v>
      </c>
      <c r="G29" s="510">
        <f t="shared" si="15"/>
        <v>2.67075393771931</v>
      </c>
      <c r="H29" s="510">
        <f t="shared" si="16"/>
        <v>2.67075393771931</v>
      </c>
      <c r="I29" s="509">
        <f t="shared" si="7"/>
        <v>2.67075393771931</v>
      </c>
      <c r="J29" s="510">
        <f t="shared" si="8"/>
        <v>2.67075393771931</v>
      </c>
      <c r="K29" s="510"/>
      <c r="L29" s="510"/>
      <c r="M29" s="510"/>
      <c r="N29" s="511">
        <f t="shared" si="9"/>
        <v>0.00456073107217994</v>
      </c>
      <c r="O29" s="447" cm="1">
        <f t="array" ref="O29">SUMPRODUCT(P29:Q29,$P$35:$Q$35)-J29</f>
        <v>-3.99680288865056e-15</v>
      </c>
      <c r="P29" s="510">
        <f>(VLOOKUP(P$3,配置明细!$B$2:$L$14,11,0)+VLOOKUP(P$3,配置明细!$B$3:$M$14,12,0)+VLOOKUP(P$3,配置明细!$B$3:$N$14,13,0))*运营工时费报价基准!$E$15</f>
        <v>1.88189545298619</v>
      </c>
      <c r="Q29" s="510">
        <f>(VLOOKUP(Q$3,配置明细!$B$2:$L$14,11,0)+VLOOKUP(Q$3,配置明细!$B$3:$M$14,12,0)+VLOOKUP(Q$3,配置明细!$B$3:$N$14,13,0))*运营工时费报价基准!$E$15</f>
        <v>0.788858484733112</v>
      </c>
    </row>
    <row r="30" customHeight="1" spans="1:17">
      <c r="A30" s="515"/>
      <c r="B30" s="515" t="s">
        <v>75</v>
      </c>
      <c r="C30" s="513" t="s">
        <v>76</v>
      </c>
      <c r="D30" s="516"/>
      <c r="E30" s="509">
        <f t="shared" si="10"/>
        <v>389066.783735475</v>
      </c>
      <c r="F30" s="510">
        <f>F15*0.5%</f>
        <v>1.935655640475</v>
      </c>
      <c r="G30" s="510">
        <f t="shared" ref="G30:K30" si="17">G15*0.5%</f>
        <v>1.935655640475</v>
      </c>
      <c r="H30" s="510">
        <f t="shared" si="17"/>
        <v>1.935655640475</v>
      </c>
      <c r="I30" s="510">
        <f t="shared" si="17"/>
        <v>1.935655640475</v>
      </c>
      <c r="J30" s="510">
        <f t="shared" si="17"/>
        <v>1.935655640475</v>
      </c>
      <c r="K30" s="510"/>
      <c r="L30" s="510"/>
      <c r="M30" s="510"/>
      <c r="N30" s="511">
        <f t="shared" si="9"/>
        <v>0.00330543548017508</v>
      </c>
      <c r="O30" s="447" cm="1">
        <f t="array" ref="O30">SUMPRODUCT(P30:Q30,$P$35:$Q$35)-J30</f>
        <v>0</v>
      </c>
      <c r="P30" s="510">
        <f>P15*0.5%</f>
        <v>1.481399846785</v>
      </c>
      <c r="Q30" s="510">
        <f>Q15*0.5%</f>
        <v>0.45425579369</v>
      </c>
    </row>
    <row r="31" customHeight="1" spans="1:17">
      <c r="A31" s="493" t="s">
        <v>43</v>
      </c>
      <c r="B31" s="517"/>
      <c r="C31" s="517"/>
      <c r="D31" s="517" t="s">
        <v>77</v>
      </c>
      <c r="E31" s="509">
        <f t="shared" si="10"/>
        <v>563400</v>
      </c>
      <c r="F31" s="510">
        <f>'研发费用 '!F19</f>
        <v>2.80298507462687</v>
      </c>
      <c r="G31" s="510">
        <f t="shared" ref="G31:K31" si="18">F31</f>
        <v>2.80298507462687</v>
      </c>
      <c r="H31" s="510">
        <f t="shared" si="18"/>
        <v>2.80298507462687</v>
      </c>
      <c r="I31" s="509">
        <f t="shared" si="18"/>
        <v>2.80298507462687</v>
      </c>
      <c r="J31" s="510">
        <f t="shared" si="18"/>
        <v>2.80298507462687</v>
      </c>
      <c r="K31" s="510"/>
      <c r="L31" s="510"/>
      <c r="M31" s="510"/>
      <c r="N31" s="511">
        <f t="shared" si="9"/>
        <v>0.004786536469782</v>
      </c>
      <c r="O31" s="447" cm="1">
        <f t="array" ref="O31">SUMPRODUCT(P31:Q31,$P$35:$Q$35)-J31</f>
        <v>-1.11022302462516e-14</v>
      </c>
      <c r="P31" s="510">
        <f>'研发费用 '!$F$21*P4</f>
        <v>2.59535655058042</v>
      </c>
      <c r="Q31" s="510">
        <f>'研发费用 '!$F$21*Q4</f>
        <v>0.207628524046434</v>
      </c>
    </row>
    <row r="32" customHeight="1" spans="1:17">
      <c r="A32" s="518" t="s">
        <v>48</v>
      </c>
      <c r="B32" s="519"/>
      <c r="C32" s="519"/>
      <c r="D32" s="520" t="s">
        <v>77</v>
      </c>
      <c r="E32" s="521">
        <f t="shared" si="10"/>
        <v>4067560.48291985</v>
      </c>
      <c r="F32" s="186">
        <f>包装物流费用!L14</f>
        <v>20.2366193180092</v>
      </c>
      <c r="G32" s="186">
        <f t="shared" ref="G32:K32" si="19">F32</f>
        <v>20.2366193180092</v>
      </c>
      <c r="H32" s="186">
        <f t="shared" si="19"/>
        <v>20.2366193180092</v>
      </c>
      <c r="I32" s="521">
        <f t="shared" si="19"/>
        <v>20.2366193180092</v>
      </c>
      <c r="J32" s="186">
        <f t="shared" si="19"/>
        <v>20.2366193180092</v>
      </c>
      <c r="K32" s="186"/>
      <c r="L32" s="186"/>
      <c r="M32" s="186"/>
      <c r="N32" s="522">
        <f t="shared" si="9"/>
        <v>0.0345572002033013</v>
      </c>
      <c r="O32" s="447" cm="1">
        <f t="array" ref="O32">SUMPRODUCT(P32:Q32,$P$35:$Q$35)-J32</f>
        <v>0</v>
      </c>
      <c r="P32" s="186">
        <f>VLOOKUP(P3,包装物流费用!$A$3:$L$13,12,0)</f>
        <v>16.1626566514695</v>
      </c>
      <c r="Q32" s="186">
        <f>VLOOKUP(Q3,包装物流费用!$A$3:$L$13,12,0)</f>
        <v>4.07396266653971</v>
      </c>
    </row>
    <row r="34" ht="15.6" spans="1:17">
      <c r="A34" s="523" t="s">
        <v>78</v>
      </c>
      <c r="B34" s="524"/>
      <c r="C34" s="525"/>
      <c r="F34" s="526"/>
    </row>
    <row r="35" spans="1:17">
      <c r="A35" s="527" t="s">
        <v>79</v>
      </c>
      <c r="B35" s="527"/>
      <c r="F35" s="526"/>
      <c r="N35" s="445" t="s">
        <v>80</v>
      </c>
      <c r="O35" s="447" t="str">
        <f>设备投资明细!N31</f>
        <v>装车比</v>
      </c>
      <c r="P35" s="528" cm="1">
        <f t="array" ref="P35:Q35">TRANSPOSE(配置明细!E3:E4)</f>
        <v>1</v>
      </c>
      <c r="Q35" s="528">
        <v>1</v>
      </c>
    </row>
    <row r="36" spans="1:17">
      <c r="A36" s="527" t="s">
        <v>81</v>
      </c>
      <c r="B36" s="527"/>
      <c r="F36" s="526"/>
      <c r="O36" s="447" t="str">
        <f>设备投资明细!N32</f>
        <v>总量纲</v>
      </c>
      <c r="P36" s="528">
        <f>$E$5</f>
        <v>201000</v>
      </c>
      <c r="Q36" s="528">
        <f>$E$5</f>
        <v>201000</v>
      </c>
    </row>
    <row r="37" spans="1:17">
      <c r="A37" s="527" t="s">
        <v>82</v>
      </c>
      <c r="B37" s="527"/>
      <c r="O37" s="447" t="str">
        <f>设备投资明细!N33</f>
        <v>数量</v>
      </c>
      <c r="P37" s="528">
        <f>P35*P36</f>
        <v>201000</v>
      </c>
      <c r="Q37" s="528">
        <f>Q35*Q36</f>
        <v>201000</v>
      </c>
    </row>
    <row r="38" spans="1:17">
      <c r="A38" s="527"/>
      <c r="B38" s="527"/>
    </row>
    <row r="39" spans="1:17">
      <c r="A39" s="445" t="s">
        <v>83</v>
      </c>
      <c r="P39" s="526"/>
      <c r="Q39" s="526"/>
    </row>
    <row r="41" spans="1:17">
      <c r="A41" s="526"/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2:R22"/>
  <sheetViews>
    <sheetView showGridLines="0" topLeftCell="B1" workbookViewId="0">
      <selection activeCell="N24" sqref="N24"/>
    </sheetView>
  </sheetViews>
  <sheetFormatPr defaultColWidth="8.88888888888889" defaultRowHeight="13.8"/>
  <cols>
    <col min="1" max="1" width="2.11111111111111" customWidth="1"/>
    <col min="2" max="2" width="20.4444444444444" customWidth="1"/>
    <col min="3" max="3" width="26.4444444444444" customWidth="1"/>
    <col min="4" max="4" width="7.88888888888889" customWidth="1"/>
    <col min="5" max="5" width="8.88888888888889" customWidth="1"/>
    <col min="6" max="6" width="8.22222222222222" customWidth="1"/>
    <col min="7" max="10" width="11.6666666666667" customWidth="1"/>
    <col min="11" max="11" width="11.6666666666667" style="416" customWidth="1"/>
    <col min="12" max="18" width="11.6666666666667" customWidth="1"/>
  </cols>
  <sheetData>
    <row r="2" spans="2:18">
      <c r="B2" s="417" t="s">
        <v>84</v>
      </c>
      <c r="C2" s="417" t="s">
        <v>85</v>
      </c>
      <c r="D2" s="417" t="s">
        <v>86</v>
      </c>
      <c r="E2" s="417" t="s">
        <v>87</v>
      </c>
      <c r="F2" s="417" t="s">
        <v>88</v>
      </c>
      <c r="G2" s="418" t="s">
        <v>89</v>
      </c>
      <c r="H2" s="418" t="s">
        <v>90</v>
      </c>
      <c r="I2" s="417" t="s">
        <v>91</v>
      </c>
      <c r="J2" s="419" t="s">
        <v>92</v>
      </c>
      <c r="K2" s="420" t="s">
        <v>93</v>
      </c>
      <c r="L2" s="421" t="s">
        <v>94</v>
      </c>
      <c r="M2" s="418" t="s">
        <v>95</v>
      </c>
      <c r="N2" s="421" t="s">
        <v>96</v>
      </c>
      <c r="O2" s="417" t="s">
        <v>97</v>
      </c>
      <c r="P2" s="422" t="s">
        <v>98</v>
      </c>
      <c r="Q2" s="422" t="s">
        <v>99</v>
      </c>
      <c r="R2" s="417" t="s">
        <v>100</v>
      </c>
    </row>
    <row r="3" ht="21" customHeight="1" spans="2:18">
      <c r="B3" s="417"/>
      <c r="C3" s="417" t="s">
        <v>101</v>
      </c>
      <c r="D3" s="417" t="s">
        <v>102</v>
      </c>
      <c r="E3" s="417" t="s">
        <v>87</v>
      </c>
      <c r="F3" s="417"/>
      <c r="G3" s="421"/>
      <c r="H3" s="421"/>
      <c r="I3" s="417"/>
      <c r="J3" s="417"/>
      <c r="K3" s="422"/>
      <c r="L3" s="421"/>
      <c r="M3" s="421"/>
      <c r="N3" s="421"/>
      <c r="O3" s="417"/>
      <c r="P3" s="422"/>
      <c r="Q3" s="422"/>
      <c r="R3" s="417"/>
    </row>
    <row r="4" ht="15.6" spans="2:18">
      <c r="B4" s="423">
        <f>配置明细!B3</f>
        <v>6608523073</v>
      </c>
      <c r="C4" s="423" t="str">
        <f>配置明细!D3</f>
        <v>组合式充电插座线束总成</v>
      </c>
      <c r="D4" s="424">
        <f>配置明细!E3</f>
        <v>1</v>
      </c>
      <c r="E4" s="425">
        <f>配置明细!I3</f>
        <v>0</v>
      </c>
      <c r="F4" s="425">
        <f>配置明细!J3</f>
        <v>0</v>
      </c>
      <c r="G4" s="426">
        <f>配置明细!G3</f>
        <v>296.279969357</v>
      </c>
      <c r="H4" s="426">
        <f>G4*1%</f>
        <v>2.96279969357</v>
      </c>
      <c r="I4" s="427">
        <f>配置明细!M3+配置明细!N3</f>
        <v>1.126</v>
      </c>
      <c r="J4" s="427">
        <f>I4*35</f>
        <v>39.41</v>
      </c>
      <c r="K4" s="427">
        <f>$K$20*I4</f>
        <v>52.57294</v>
      </c>
      <c r="L4" s="428">
        <f>K4+J4</f>
        <v>91.98294</v>
      </c>
      <c r="M4" s="429">
        <f>(G4+L4)*6%</f>
        <v>23.29577456142</v>
      </c>
      <c r="N4" s="429">
        <f>(L4+H4+G4)*6%</f>
        <v>23.4735425430342</v>
      </c>
      <c r="O4" s="427">
        <f>N4+M4+L4+G4+H4</f>
        <v>437.995026155024</v>
      </c>
      <c r="P4" s="427">
        <f>包装物流费用!E4+包装物流费用!F4</f>
        <v>5.9517566951567</v>
      </c>
      <c r="Q4" s="427">
        <f>包装物流费用!I4+包装物流费用!J4+包装物流费用!K4</f>
        <v>4.75</v>
      </c>
      <c r="R4" s="427">
        <f>Q4+P4+O4</f>
        <v>448.69678285018</v>
      </c>
    </row>
    <row r="5" ht="15.6" spans="2:18">
      <c r="B5" s="430">
        <f>配置明细!B4</f>
        <v>6608523072</v>
      </c>
      <c r="C5" s="430" t="str">
        <f>配置明细!D4</f>
        <v>充电线束总成</v>
      </c>
      <c r="D5" s="431">
        <f>配置明细!E4</f>
        <v>1</v>
      </c>
      <c r="E5" s="432">
        <f>配置明细!I4</f>
        <v>0</v>
      </c>
      <c r="F5" s="432">
        <f>配置明细!J4</f>
        <v>0</v>
      </c>
      <c r="G5" s="429">
        <f>配置明细!G4</f>
        <v>90.851158738</v>
      </c>
      <c r="H5" s="429">
        <f t="shared" ref="H5:H14" si="0">G5*1%</f>
        <v>0.90851158738</v>
      </c>
      <c r="I5" s="433">
        <f>配置明细!M4+配置明细!N4</f>
        <v>0.472</v>
      </c>
      <c r="J5" s="433">
        <f t="shared" ref="J5:J14" si="1">I5*35</f>
        <v>16.52</v>
      </c>
      <c r="K5" s="433">
        <f t="shared" ref="K5:K14" si="2">$K$20*I5</f>
        <v>22.03768</v>
      </c>
      <c r="L5" s="434">
        <f t="shared" ref="L5:L14" si="3">K5+J5</f>
        <v>38.55768</v>
      </c>
      <c r="M5" s="429">
        <f t="shared" ref="M5:M14" si="4">(G5+L5)*6%</f>
        <v>7.76453032428</v>
      </c>
      <c r="N5" s="429">
        <f t="shared" ref="N5:N14" si="5">(L5+H5+G5)*6%</f>
        <v>7.8190410195228</v>
      </c>
      <c r="O5" s="435">
        <f t="shared" ref="O5:O14" si="6">N5+M5+L5+G5+H5</f>
        <v>145.900921669183</v>
      </c>
      <c r="P5" s="433">
        <f>包装物流费用!E5+包装物流费用!F5</f>
        <v>1.11250933903134</v>
      </c>
      <c r="Q5" s="433">
        <f>包装物流费用!I5+包装物流费用!J5+包装物流费用!K5</f>
        <v>2.23333333333333</v>
      </c>
      <c r="R5" s="435">
        <f t="shared" ref="R5:R14" si="7">Q5+P5+O5</f>
        <v>149.246764341547</v>
      </c>
    </row>
    <row r="6" ht="15.6" spans="2:18">
      <c r="B6" s="430" t="e">
        <f>配置明细!#REF!</f>
        <v>#REF!</v>
      </c>
      <c r="C6" s="430" t="e">
        <f>配置明细!#REF!</f>
        <v>#REF!</v>
      </c>
      <c r="D6" s="431" t="e">
        <f>配置明细!#REF!</f>
        <v>#REF!</v>
      </c>
      <c r="E6" s="436" t="e">
        <f>配置明细!#REF!</f>
        <v>#REF!</v>
      </c>
      <c r="F6" s="436" t="e">
        <f>配置明细!#REF!</f>
        <v>#REF!</v>
      </c>
      <c r="G6" s="437" t="e">
        <f>配置明细!#REF!</f>
        <v>#REF!</v>
      </c>
      <c r="H6" s="437" t="e">
        <f t="shared" si="0"/>
        <v>#REF!</v>
      </c>
      <c r="I6" s="435" t="e">
        <f>配置明细!#REF!+配置明细!#REF!</f>
        <v>#REF!</v>
      </c>
      <c r="J6" s="435" t="e">
        <f t="shared" si="1"/>
        <v>#REF!</v>
      </c>
      <c r="K6" s="435" t="e">
        <f t="shared" si="2"/>
        <v>#REF!</v>
      </c>
      <c r="L6" s="434" t="e">
        <f t="shared" si="3"/>
        <v>#REF!</v>
      </c>
      <c r="M6" s="429" t="e">
        <f t="shared" si="4"/>
        <v>#REF!</v>
      </c>
      <c r="N6" s="429" t="e">
        <f t="shared" si="5"/>
        <v>#REF!</v>
      </c>
      <c r="O6" s="435" t="e">
        <f t="shared" si="6"/>
        <v>#REF!</v>
      </c>
      <c r="P6" s="435" t="e">
        <f>包装物流费用!#REF!+包装物流费用!#REF!</f>
        <v>#REF!</v>
      </c>
      <c r="Q6" s="435" t="e">
        <f>包装物流费用!#REF!+包装物流费用!#REF!+包装物流费用!#REF!</f>
        <v>#REF!</v>
      </c>
      <c r="R6" s="435" t="e">
        <f t="shared" si="7"/>
        <v>#REF!</v>
      </c>
    </row>
    <row r="7" ht="15.6" spans="2:18">
      <c r="B7" s="430" t="e">
        <f>配置明细!#REF!</f>
        <v>#REF!</v>
      </c>
      <c r="C7" s="430" t="e">
        <f>配置明细!#REF!</f>
        <v>#REF!</v>
      </c>
      <c r="D7" s="431" t="e">
        <f>配置明细!#REF!</f>
        <v>#REF!</v>
      </c>
      <c r="E7" s="436" t="e">
        <f>配置明细!#REF!</f>
        <v>#REF!</v>
      </c>
      <c r="F7" s="436" t="e">
        <f>配置明细!#REF!</f>
        <v>#REF!</v>
      </c>
      <c r="G7" s="437" t="e">
        <f>配置明细!#REF!</f>
        <v>#REF!</v>
      </c>
      <c r="H7" s="437" t="e">
        <f t="shared" si="0"/>
        <v>#REF!</v>
      </c>
      <c r="I7" s="435" t="e">
        <f>配置明细!#REF!+配置明细!#REF!</f>
        <v>#REF!</v>
      </c>
      <c r="J7" s="435" t="e">
        <f t="shared" si="1"/>
        <v>#REF!</v>
      </c>
      <c r="K7" s="435" t="e">
        <f t="shared" si="2"/>
        <v>#REF!</v>
      </c>
      <c r="L7" s="434" t="e">
        <f t="shared" si="3"/>
        <v>#REF!</v>
      </c>
      <c r="M7" s="429" t="e">
        <f t="shared" si="4"/>
        <v>#REF!</v>
      </c>
      <c r="N7" s="429" t="e">
        <f t="shared" si="5"/>
        <v>#REF!</v>
      </c>
      <c r="O7" s="435" t="e">
        <f t="shared" si="6"/>
        <v>#REF!</v>
      </c>
      <c r="P7" s="435" t="e">
        <f>包装物流费用!#REF!+包装物流费用!#REF!</f>
        <v>#REF!</v>
      </c>
      <c r="Q7" s="435" t="e">
        <f>包装物流费用!#REF!+包装物流费用!#REF!+包装物流费用!#REF!</f>
        <v>#REF!</v>
      </c>
      <c r="R7" s="435" t="e">
        <f t="shared" si="7"/>
        <v>#REF!</v>
      </c>
    </row>
    <row r="8" ht="15.6" spans="2:18">
      <c r="B8" s="430" t="e">
        <f>配置明细!#REF!</f>
        <v>#REF!</v>
      </c>
      <c r="C8" s="430" t="e">
        <f>配置明细!#REF!</f>
        <v>#REF!</v>
      </c>
      <c r="D8" s="431" t="e">
        <f>配置明细!#REF!</f>
        <v>#REF!</v>
      </c>
      <c r="E8" s="436" t="e">
        <f>配置明细!#REF!</f>
        <v>#REF!</v>
      </c>
      <c r="F8" s="436" t="e">
        <f>配置明细!#REF!</f>
        <v>#REF!</v>
      </c>
      <c r="G8" s="437" t="e">
        <f>配置明细!#REF!</f>
        <v>#REF!</v>
      </c>
      <c r="H8" s="437" t="e">
        <f t="shared" si="0"/>
        <v>#REF!</v>
      </c>
      <c r="I8" s="435" t="e">
        <f>配置明细!#REF!+配置明细!#REF!</f>
        <v>#REF!</v>
      </c>
      <c r="J8" s="435" t="e">
        <f t="shared" si="1"/>
        <v>#REF!</v>
      </c>
      <c r="K8" s="435" t="e">
        <f t="shared" si="2"/>
        <v>#REF!</v>
      </c>
      <c r="L8" s="434" t="e">
        <f t="shared" si="3"/>
        <v>#REF!</v>
      </c>
      <c r="M8" s="429" t="e">
        <f t="shared" si="4"/>
        <v>#REF!</v>
      </c>
      <c r="N8" s="429" t="e">
        <f t="shared" si="5"/>
        <v>#REF!</v>
      </c>
      <c r="O8" s="435" t="e">
        <f t="shared" si="6"/>
        <v>#REF!</v>
      </c>
      <c r="P8" s="435" t="e">
        <f>包装物流费用!#REF!+包装物流费用!#REF!</f>
        <v>#REF!</v>
      </c>
      <c r="Q8" s="435" t="e">
        <f>包装物流费用!#REF!+包装物流费用!#REF!+包装物流费用!#REF!</f>
        <v>#REF!</v>
      </c>
      <c r="R8" s="435" t="e">
        <f t="shared" si="7"/>
        <v>#REF!</v>
      </c>
    </row>
    <row r="9" ht="15.6" spans="2:18">
      <c r="B9" s="430" t="e">
        <f>配置明细!#REF!</f>
        <v>#REF!</v>
      </c>
      <c r="C9" s="430" t="e">
        <f>配置明细!#REF!</f>
        <v>#REF!</v>
      </c>
      <c r="D9" s="431" t="e">
        <f>配置明细!#REF!</f>
        <v>#REF!</v>
      </c>
      <c r="E9" s="436" t="e">
        <f>配置明细!#REF!</f>
        <v>#REF!</v>
      </c>
      <c r="F9" s="436" t="e">
        <f>配置明细!#REF!</f>
        <v>#REF!</v>
      </c>
      <c r="G9" s="437" t="e">
        <f>配置明细!#REF!</f>
        <v>#REF!</v>
      </c>
      <c r="H9" s="437" t="e">
        <f t="shared" si="0"/>
        <v>#REF!</v>
      </c>
      <c r="I9" s="435" t="e">
        <f>配置明细!#REF!+配置明细!#REF!</f>
        <v>#REF!</v>
      </c>
      <c r="J9" s="435" t="e">
        <f t="shared" si="1"/>
        <v>#REF!</v>
      </c>
      <c r="K9" s="435" t="e">
        <f t="shared" si="2"/>
        <v>#REF!</v>
      </c>
      <c r="L9" s="434" t="e">
        <f t="shared" si="3"/>
        <v>#REF!</v>
      </c>
      <c r="M9" s="429" t="e">
        <f t="shared" si="4"/>
        <v>#REF!</v>
      </c>
      <c r="N9" s="429" t="e">
        <f t="shared" si="5"/>
        <v>#REF!</v>
      </c>
      <c r="O9" s="435" t="e">
        <f t="shared" si="6"/>
        <v>#REF!</v>
      </c>
      <c r="P9" s="435" t="e">
        <f>包装物流费用!#REF!+包装物流费用!#REF!</f>
        <v>#REF!</v>
      </c>
      <c r="Q9" s="435" t="e">
        <f>包装物流费用!#REF!+包装物流费用!#REF!+包装物流费用!#REF!</f>
        <v>#REF!</v>
      </c>
      <c r="R9" s="435" t="e">
        <f t="shared" si="7"/>
        <v>#REF!</v>
      </c>
    </row>
    <row r="10" ht="15.6" spans="2:18">
      <c r="B10" s="430" t="e">
        <f>配置明细!#REF!</f>
        <v>#REF!</v>
      </c>
      <c r="C10" s="430" t="e">
        <f>配置明细!#REF!</f>
        <v>#REF!</v>
      </c>
      <c r="D10" s="431" t="e">
        <f>配置明细!#REF!</f>
        <v>#REF!</v>
      </c>
      <c r="E10" s="436" t="e">
        <f>配置明细!#REF!</f>
        <v>#REF!</v>
      </c>
      <c r="F10" s="436" t="e">
        <f>配置明细!#REF!</f>
        <v>#REF!</v>
      </c>
      <c r="G10" s="437" t="e">
        <f>配置明细!#REF!</f>
        <v>#REF!</v>
      </c>
      <c r="H10" s="437" t="e">
        <f t="shared" si="0"/>
        <v>#REF!</v>
      </c>
      <c r="I10" s="435" t="e">
        <f>配置明细!#REF!+配置明细!#REF!</f>
        <v>#REF!</v>
      </c>
      <c r="J10" s="435" t="e">
        <f t="shared" si="1"/>
        <v>#REF!</v>
      </c>
      <c r="K10" s="435" t="e">
        <f t="shared" si="2"/>
        <v>#REF!</v>
      </c>
      <c r="L10" s="434" t="e">
        <f t="shared" si="3"/>
        <v>#REF!</v>
      </c>
      <c r="M10" s="429" t="e">
        <f t="shared" si="4"/>
        <v>#REF!</v>
      </c>
      <c r="N10" s="429" t="e">
        <f t="shared" si="5"/>
        <v>#REF!</v>
      </c>
      <c r="O10" s="435" t="e">
        <f t="shared" si="6"/>
        <v>#REF!</v>
      </c>
      <c r="P10" s="435" t="e">
        <f>包装物流费用!#REF!+包装物流费用!#REF!</f>
        <v>#REF!</v>
      </c>
      <c r="Q10" s="435" t="e">
        <f>包装物流费用!#REF!+包装物流费用!#REF!+包装物流费用!#REF!</f>
        <v>#REF!</v>
      </c>
      <c r="R10" s="435" t="e">
        <f t="shared" si="7"/>
        <v>#REF!</v>
      </c>
    </row>
    <row r="11" ht="15.6" spans="2:18">
      <c r="B11" s="430" t="e">
        <f>配置明细!#REF!</f>
        <v>#REF!</v>
      </c>
      <c r="C11" s="430" t="e">
        <f>配置明细!#REF!</f>
        <v>#REF!</v>
      </c>
      <c r="D11" s="431" t="e">
        <f>配置明细!#REF!</f>
        <v>#REF!</v>
      </c>
      <c r="E11" s="436" t="e">
        <f>配置明细!#REF!</f>
        <v>#REF!</v>
      </c>
      <c r="F11" s="436" t="e">
        <f>配置明细!#REF!</f>
        <v>#REF!</v>
      </c>
      <c r="G11" s="437" t="e">
        <f>配置明细!#REF!</f>
        <v>#REF!</v>
      </c>
      <c r="H11" s="437" t="e">
        <f t="shared" si="0"/>
        <v>#REF!</v>
      </c>
      <c r="I11" s="435" t="e">
        <f>配置明细!#REF!+配置明细!#REF!</f>
        <v>#REF!</v>
      </c>
      <c r="J11" s="435" t="e">
        <f t="shared" si="1"/>
        <v>#REF!</v>
      </c>
      <c r="K11" s="435" t="e">
        <f t="shared" si="2"/>
        <v>#REF!</v>
      </c>
      <c r="L11" s="434" t="e">
        <f t="shared" si="3"/>
        <v>#REF!</v>
      </c>
      <c r="M11" s="429" t="e">
        <f t="shared" si="4"/>
        <v>#REF!</v>
      </c>
      <c r="N11" s="429" t="e">
        <f t="shared" si="5"/>
        <v>#REF!</v>
      </c>
      <c r="O11" s="435" t="e">
        <f t="shared" si="6"/>
        <v>#REF!</v>
      </c>
      <c r="P11" s="435" t="e">
        <f>包装物流费用!#REF!+包装物流费用!#REF!</f>
        <v>#REF!</v>
      </c>
      <c r="Q11" s="435" t="e">
        <f>包装物流费用!#REF!+包装物流费用!#REF!+包装物流费用!#REF!</f>
        <v>#REF!</v>
      </c>
      <c r="R11" s="435" t="e">
        <f t="shared" si="7"/>
        <v>#REF!</v>
      </c>
    </row>
    <row r="12" ht="15.6" spans="2:18">
      <c r="B12" s="438" t="e">
        <f>配置明细!#REF!</f>
        <v>#REF!</v>
      </c>
      <c r="C12" s="439" t="e">
        <f>配置明细!#REF!</f>
        <v>#REF!</v>
      </c>
      <c r="D12" s="436" t="e">
        <f>配置明细!#REF!</f>
        <v>#REF!</v>
      </c>
      <c r="E12" s="436" t="e">
        <f>配置明细!#REF!</f>
        <v>#REF!</v>
      </c>
      <c r="F12" s="436" t="e">
        <f>配置明细!#REF!</f>
        <v>#REF!</v>
      </c>
      <c r="G12" s="437" t="e">
        <f>配置明细!#REF!</f>
        <v>#REF!</v>
      </c>
      <c r="H12" s="437" t="e">
        <f t="shared" si="0"/>
        <v>#REF!</v>
      </c>
      <c r="I12" s="435" t="e">
        <f>配置明细!#REF!+配置明细!#REF!</f>
        <v>#REF!</v>
      </c>
      <c r="J12" s="435" t="e">
        <f t="shared" si="1"/>
        <v>#REF!</v>
      </c>
      <c r="K12" s="435" t="e">
        <f t="shared" si="2"/>
        <v>#REF!</v>
      </c>
      <c r="L12" s="434" t="e">
        <f t="shared" si="3"/>
        <v>#REF!</v>
      </c>
      <c r="M12" s="429" t="e">
        <f t="shared" si="4"/>
        <v>#REF!</v>
      </c>
      <c r="N12" s="429" t="e">
        <f t="shared" si="5"/>
        <v>#REF!</v>
      </c>
      <c r="O12" s="435" t="e">
        <f t="shared" si="6"/>
        <v>#REF!</v>
      </c>
      <c r="P12" s="435" t="e">
        <f>包装物流费用!#REF!+包装物流费用!#REF!</f>
        <v>#REF!</v>
      </c>
      <c r="Q12" s="435" t="e">
        <f>包装物流费用!#REF!+包装物流费用!#REF!+包装物流费用!#REF!</f>
        <v>#REF!</v>
      </c>
      <c r="R12" s="435" t="e">
        <f t="shared" si="7"/>
        <v>#REF!</v>
      </c>
    </row>
    <row r="13" ht="15.6" spans="2:18">
      <c r="B13" s="438" t="e">
        <f>配置明细!#REF!</f>
        <v>#REF!</v>
      </c>
      <c r="C13" s="439" t="e">
        <f>配置明细!#REF!</f>
        <v>#REF!</v>
      </c>
      <c r="D13" s="436" t="e">
        <f>配置明细!#REF!</f>
        <v>#REF!</v>
      </c>
      <c r="E13" s="436" t="e">
        <f>配置明细!#REF!</f>
        <v>#REF!</v>
      </c>
      <c r="F13" s="436" t="e">
        <f>配置明细!#REF!</f>
        <v>#REF!</v>
      </c>
      <c r="G13" s="437" t="e">
        <f>配置明细!#REF!</f>
        <v>#REF!</v>
      </c>
      <c r="H13" s="437" t="e">
        <f t="shared" si="0"/>
        <v>#REF!</v>
      </c>
      <c r="I13" s="435" t="e">
        <f>配置明细!#REF!+配置明细!#REF!</f>
        <v>#REF!</v>
      </c>
      <c r="J13" s="435" t="e">
        <f t="shared" si="1"/>
        <v>#REF!</v>
      </c>
      <c r="K13" s="435" t="e">
        <f t="shared" si="2"/>
        <v>#REF!</v>
      </c>
      <c r="L13" s="434" t="e">
        <f t="shared" si="3"/>
        <v>#REF!</v>
      </c>
      <c r="M13" s="429" t="e">
        <f t="shared" si="4"/>
        <v>#REF!</v>
      </c>
      <c r="N13" s="429" t="e">
        <f t="shared" si="5"/>
        <v>#REF!</v>
      </c>
      <c r="O13" s="435" t="e">
        <f t="shared" si="6"/>
        <v>#REF!</v>
      </c>
      <c r="P13" s="435" t="e">
        <f>包装物流费用!#REF!+包装物流费用!#REF!</f>
        <v>#REF!</v>
      </c>
      <c r="Q13" s="435" t="e">
        <f>包装物流费用!#REF!+包装物流费用!#REF!+包装物流费用!#REF!</f>
        <v>#REF!</v>
      </c>
      <c r="R13" s="435" t="e">
        <f t="shared" si="7"/>
        <v>#REF!</v>
      </c>
    </row>
    <row r="14" ht="15.6" spans="2:18">
      <c r="B14" s="438" t="e">
        <f>配置明细!#REF!</f>
        <v>#REF!</v>
      </c>
      <c r="C14" s="439" t="e">
        <f>配置明细!#REF!</f>
        <v>#REF!</v>
      </c>
      <c r="D14" s="436" t="e">
        <f>配置明细!#REF!</f>
        <v>#REF!</v>
      </c>
      <c r="E14" s="436" t="e">
        <f>配置明细!#REF!</f>
        <v>#REF!</v>
      </c>
      <c r="F14" s="436" t="e">
        <f>配置明细!#REF!</f>
        <v>#REF!</v>
      </c>
      <c r="G14" s="437" t="e">
        <f>配置明细!#REF!</f>
        <v>#REF!</v>
      </c>
      <c r="H14" s="437" t="e">
        <f t="shared" si="0"/>
        <v>#REF!</v>
      </c>
      <c r="I14" s="435" t="e">
        <f>配置明细!#REF!+配置明细!#REF!</f>
        <v>#REF!</v>
      </c>
      <c r="J14" s="435" t="e">
        <f t="shared" si="1"/>
        <v>#REF!</v>
      </c>
      <c r="K14" s="435" t="e">
        <f t="shared" si="2"/>
        <v>#REF!</v>
      </c>
      <c r="L14" s="434" t="e">
        <f t="shared" si="3"/>
        <v>#REF!</v>
      </c>
      <c r="M14" s="429" t="e">
        <f t="shared" si="4"/>
        <v>#REF!</v>
      </c>
      <c r="N14" s="429" t="e">
        <f t="shared" si="5"/>
        <v>#REF!</v>
      </c>
      <c r="O14" s="435" t="e">
        <f t="shared" si="6"/>
        <v>#REF!</v>
      </c>
      <c r="P14" s="435" t="e">
        <f>包装物流费用!#REF!+包装物流费用!#REF!</f>
        <v>#REF!</v>
      </c>
      <c r="Q14" s="435" t="e">
        <f>包装物流费用!#REF!+包装物流费用!#REF!+包装物流费用!#REF!</f>
        <v>#REF!</v>
      </c>
      <c r="R14" s="435" t="e">
        <f t="shared" si="7"/>
        <v>#REF!</v>
      </c>
    </row>
    <row r="15" ht="15.6" spans="2:18">
      <c r="B15" s="417"/>
      <c r="C15" s="417"/>
      <c r="D15" s="417"/>
      <c r="E15" s="440"/>
      <c r="F15" s="440"/>
      <c r="G15" s="441"/>
      <c r="H15" s="441"/>
      <c r="I15" s="440"/>
      <c r="J15" s="440"/>
      <c r="K15" s="440"/>
      <c r="L15" s="441"/>
      <c r="M15" s="441"/>
      <c r="N15" s="441"/>
      <c r="O15" s="440"/>
      <c r="P15" s="440"/>
      <c r="Q15" s="440"/>
      <c r="R15" s="440"/>
    </row>
    <row r="17" ht="15.6" spans="2:18">
      <c r="B17" s="417" t="s">
        <v>103</v>
      </c>
      <c r="C17" s="417"/>
      <c r="D17" s="417"/>
      <c r="E17" s="440" t="e" cm="1">
        <f t="array" ref="E17">SUMPRODUCT($D$4:$D$14,E4:E14)</f>
        <v>#REF!</v>
      </c>
      <c r="F17" s="440" t="e" cm="1">
        <f t="array" ref="F17">SUMPRODUCT($D$4:$D$14,F4:F14)</f>
        <v>#REF!</v>
      </c>
      <c r="G17" s="440" t="e" cm="1">
        <f t="array" ref="G17">SUMPRODUCT($D$4:$D$14,G4:G14)</f>
        <v>#REF!</v>
      </c>
      <c r="H17" s="440" t="e">
        <f t="array" ref="H17">SUMPRODUCT($D$4:$D$14,H4:H14)</f>
        <v>#REF!</v>
      </c>
      <c r="I17" s="440" t="e">
        <f t="array" ref="I17">SUMPRODUCT($D$4:$D$14,I4:I14)</f>
        <v>#REF!</v>
      </c>
      <c r="J17" s="440" t="e">
        <f t="array" ref="J17">SUMPRODUCT($D$4:$D$14,J4:J14)</f>
        <v>#REF!</v>
      </c>
      <c r="K17" s="440" t="e">
        <f t="array" ref="K17">SUMPRODUCT($D$4:$D$14,K4:K14)</f>
        <v>#REF!</v>
      </c>
      <c r="L17" s="440" t="e" cm="1">
        <f t="array" ref="L17">SUMPRODUCT($D$4:$D$14,L4:L14)</f>
        <v>#REF!</v>
      </c>
      <c r="M17" s="440" t="e">
        <f t="array" ref="M17">SUMPRODUCT($D$4:$D$14,M4:M14)</f>
        <v>#REF!</v>
      </c>
      <c r="N17" s="440" t="e" cm="1">
        <f t="array" ref="N17">SUMPRODUCT($D$4:$D$14,N4:N14)</f>
        <v>#REF!</v>
      </c>
      <c r="O17" s="440" t="e" cm="1">
        <f t="array" ref="O17">SUMPRODUCT($D$4:$D$14,O4:O14)</f>
        <v>#REF!</v>
      </c>
      <c r="P17" s="440" t="e">
        <f t="array" ref="P17">SUMPRODUCT($D$4:$D$14,P4:P14)</f>
        <v>#REF!</v>
      </c>
      <c r="Q17" s="440" t="e">
        <f t="array" ref="Q17">SUMPRODUCT($D$4:$D$14,Q4:Q14)</f>
        <v>#REF!</v>
      </c>
      <c r="R17" s="442" t="e">
        <f t="array" ref="R17">SUMPRODUCT($D$4:$D$14,R4:R14)</f>
        <v>#REF!</v>
      </c>
    </row>
    <row r="19" hidden="1" spans="2:18">
      <c r="R19" s="443">
        <f>'项目评估汇总（昆山90%）'!N9</f>
        <v>585.597768307514</v>
      </c>
    </row>
    <row r="20" hidden="1" spans="2:18">
      <c r="K20" s="444">
        <f>37.36-1.25+0.27+11.52-1.38+0.17</f>
        <v>46.69</v>
      </c>
    </row>
    <row r="21" hidden="1"/>
    <row r="22" hidden="1"/>
  </sheetData>
  <mergeCells count="17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0"/>
  <sheetViews>
    <sheetView showGridLines="0" workbookViewId="0">
      <selection activeCell="N10" sqref="N10"/>
    </sheetView>
  </sheetViews>
  <sheetFormatPr defaultColWidth="9" defaultRowHeight="13.8"/>
  <cols>
    <col min="1" max="1" width="2.55555555555556" customWidth="1"/>
    <col min="2" max="2" width="16" customWidth="1"/>
    <col min="3" max="3" width="23.1111111111111" customWidth="1"/>
    <col min="4" max="10" width="10.7777777777778" customWidth="1"/>
  </cols>
  <sheetData>
    <row r="2" ht="15.6" spans="2:13">
      <c r="B2" s="384" t="s">
        <v>104</v>
      </c>
      <c r="C2" s="384"/>
      <c r="D2" s="124"/>
      <c r="E2" s="124"/>
      <c r="F2" s="124"/>
      <c r="G2" s="124"/>
      <c r="H2" s="124"/>
      <c r="I2" s="124"/>
    </row>
    <row r="3" ht="16.35" spans="2:13">
      <c r="B3" s="385"/>
      <c r="C3" s="385"/>
      <c r="D3" s="124"/>
      <c r="E3" s="124"/>
      <c r="F3" s="124"/>
      <c r="G3" s="124"/>
      <c r="H3" s="124"/>
      <c r="I3" s="124"/>
    </row>
    <row r="4" ht="24" customHeight="1" spans="2:13">
      <c r="B4" s="386" t="s">
        <v>105</v>
      </c>
      <c r="C4" s="386"/>
      <c r="D4" s="386" t="s">
        <v>106</v>
      </c>
      <c r="E4" s="386" t="s">
        <v>107</v>
      </c>
      <c r="F4" s="386" t="s">
        <v>108</v>
      </c>
      <c r="G4" s="386" t="s">
        <v>109</v>
      </c>
      <c r="H4" s="387" t="s">
        <v>110</v>
      </c>
      <c r="I4" s="387" t="s">
        <v>111</v>
      </c>
      <c r="J4" s="386" t="s">
        <v>112</v>
      </c>
    </row>
    <row r="5" ht="25.95" customHeight="1" spans="2:13">
      <c r="B5" s="388" t="s">
        <v>113</v>
      </c>
      <c r="C5" s="389"/>
      <c r="D5" s="390">
        <v>28.6068525767252</v>
      </c>
      <c r="E5" s="391">
        <f>E8</f>
        <v>26.272887050439</v>
      </c>
      <c r="F5" s="392">
        <v>26.7671595236082</v>
      </c>
      <c r="G5" s="391">
        <v>28.1694276892053</v>
      </c>
      <c r="H5" s="391">
        <v>31.1767952121042</v>
      </c>
      <c r="I5" s="391">
        <v>32.03439728214</v>
      </c>
      <c r="J5" s="391">
        <v>27.7117457310889</v>
      </c>
      <c r="L5" s="393" t="s">
        <v>114</v>
      </c>
      <c r="M5" s="394">
        <f>工厂效率!D17</f>
        <v>0.9</v>
      </c>
    </row>
    <row r="6" ht="25.95" customHeight="1" spans="2:13">
      <c r="B6" s="395"/>
      <c r="C6" s="396" t="s">
        <v>115</v>
      </c>
      <c r="D6" s="397">
        <v>30.1984480585632</v>
      </c>
      <c r="E6" s="398"/>
      <c r="F6" s="399"/>
      <c r="G6" s="397">
        <v>28.0289708714664</v>
      </c>
      <c r="H6" s="397">
        <v>34.1954734894422</v>
      </c>
      <c r="I6" s="397"/>
      <c r="J6" s="397"/>
    </row>
    <row r="7" ht="25.95" customHeight="1" spans="2:13">
      <c r="B7" s="400"/>
      <c r="C7" s="401" t="s">
        <v>116</v>
      </c>
      <c r="D7" s="402">
        <v>28.1883278081343</v>
      </c>
      <c r="E7" s="403"/>
      <c r="F7" s="404"/>
      <c r="G7" s="402">
        <v>27.6624168477273</v>
      </c>
      <c r="H7" s="402">
        <v>30.8663014211727</v>
      </c>
      <c r="I7" s="402"/>
      <c r="J7" s="402"/>
    </row>
    <row r="8" ht="25.95" customHeight="1" spans="2:13">
      <c r="B8" s="400"/>
      <c r="C8" s="401" t="s">
        <v>117</v>
      </c>
      <c r="D8" s="402">
        <v>28.5800815956816</v>
      </c>
      <c r="E8" s="402">
        <v>26.272887050439</v>
      </c>
      <c r="F8" s="402">
        <v>26.7671595236082</v>
      </c>
      <c r="G8" s="402">
        <v>32.8565110734101</v>
      </c>
      <c r="H8" s="402">
        <v>31.0387007579718</v>
      </c>
      <c r="I8" s="402">
        <v>32.03439728214</v>
      </c>
      <c r="J8" s="402">
        <v>27.7117457310889</v>
      </c>
    </row>
    <row r="9" ht="25.95" customHeight="1" spans="2:13">
      <c r="B9" s="405" t="s">
        <v>118</v>
      </c>
      <c r="C9" s="389"/>
      <c r="D9" s="390" t="s">
        <v>119</v>
      </c>
      <c r="E9" s="390" t="s">
        <v>120</v>
      </c>
      <c r="F9" s="390" t="s">
        <v>121</v>
      </c>
      <c r="G9" s="390" t="s">
        <v>122</v>
      </c>
      <c r="H9" s="390" t="s">
        <v>123</v>
      </c>
      <c r="I9" s="390" t="s">
        <v>124</v>
      </c>
      <c r="J9" s="390" t="s">
        <v>125</v>
      </c>
    </row>
    <row r="10" ht="25.95" customHeight="1" spans="2:13">
      <c r="B10" s="406"/>
      <c r="C10" s="396" t="s">
        <v>126</v>
      </c>
      <c r="D10" s="397">
        <v>8.49907877266438</v>
      </c>
      <c r="E10" s="397">
        <v>6.47401490294886</v>
      </c>
      <c r="F10" s="407" t="s">
        <v>127</v>
      </c>
      <c r="G10" s="397">
        <v>10.3938056083801</v>
      </c>
      <c r="H10" s="397">
        <v>9.74878301876636</v>
      </c>
      <c r="I10" s="397">
        <v>11.1627841545659</v>
      </c>
      <c r="J10" s="397">
        <v>8.81607372723373</v>
      </c>
    </row>
    <row r="11" ht="25.95" customHeight="1" spans="2:13">
      <c r="B11" s="406"/>
      <c r="C11" s="401" t="s">
        <v>128</v>
      </c>
      <c r="D11" s="402">
        <v>0.876354067804185</v>
      </c>
      <c r="E11" s="402">
        <v>0.510203536767451</v>
      </c>
      <c r="F11" s="402">
        <v>0.411507027034588</v>
      </c>
      <c r="G11" s="402">
        <v>0.795221469932642</v>
      </c>
      <c r="H11" s="402">
        <v>2.13033946220412</v>
      </c>
      <c r="I11" s="402">
        <v>2.80806117023651</v>
      </c>
      <c r="J11" s="408" t="s">
        <v>129</v>
      </c>
    </row>
    <row r="12" ht="25.95" customHeight="1" spans="2:13">
      <c r="B12" s="406"/>
      <c r="C12" s="401" t="s">
        <v>130</v>
      </c>
      <c r="D12" s="402">
        <v>1.85629758914502</v>
      </c>
      <c r="E12" s="402">
        <v>2.40509028555431</v>
      </c>
      <c r="F12" s="402">
        <v>1.09392744617386</v>
      </c>
      <c r="G12" s="402">
        <v>0.690718523127828</v>
      </c>
      <c r="H12" s="402">
        <v>0.981542861425627</v>
      </c>
      <c r="I12" s="402">
        <v>4.96914719011149</v>
      </c>
      <c r="J12" s="408" t="s">
        <v>131</v>
      </c>
    </row>
    <row r="13" ht="25.95" customHeight="1" spans="2:13">
      <c r="B13" s="406"/>
      <c r="C13" s="409" t="s">
        <v>132</v>
      </c>
      <c r="D13" s="410">
        <v>1.45</v>
      </c>
      <c r="E13" s="402">
        <v>3.86338185890258</v>
      </c>
      <c r="F13" s="402">
        <v>3.26426474383408</v>
      </c>
      <c r="G13" s="402">
        <v>0.610794598706845</v>
      </c>
      <c r="H13" s="402">
        <v>1.00534619189814</v>
      </c>
      <c r="I13" s="402">
        <v>2.78429038601047</v>
      </c>
      <c r="J13" s="402">
        <v>2.98308981932283</v>
      </c>
    </row>
    <row r="14" ht="25.95" customHeight="1" spans="2:13">
      <c r="B14" s="411"/>
      <c r="C14" s="409" t="s">
        <v>133</v>
      </c>
      <c r="D14" s="410">
        <v>2.03</v>
      </c>
      <c r="E14" s="402">
        <v>0.242343437849944</v>
      </c>
      <c r="F14" s="402">
        <v>2.43544789433746</v>
      </c>
      <c r="G14" s="402">
        <v>0.51592727208137</v>
      </c>
      <c r="H14" s="402">
        <v>0.894535533142602</v>
      </c>
      <c r="I14" s="402">
        <v>0.899397713036092</v>
      </c>
      <c r="J14" s="402">
        <v>0</v>
      </c>
    </row>
    <row r="15" ht="25.95" customHeight="1" spans="2:13">
      <c r="B15" s="411"/>
      <c r="C15" s="409" t="s">
        <v>134</v>
      </c>
      <c r="D15" s="402">
        <v>1.42337495669072</v>
      </c>
      <c r="E15" s="402">
        <v>1.67131034901083</v>
      </c>
      <c r="F15" s="402">
        <v>3.66297469012512</v>
      </c>
      <c r="G15" s="402">
        <v>2.12678188974416</v>
      </c>
      <c r="H15" s="402">
        <v>1.04778412209722</v>
      </c>
      <c r="I15" s="402">
        <v>0.837376979229327</v>
      </c>
      <c r="J15" s="402">
        <v>1.49785369640598</v>
      </c>
    </row>
    <row r="16" ht="25.95" customHeight="1" spans="2:13">
      <c r="B16" s="412"/>
      <c r="C16" s="413" t="s">
        <v>135</v>
      </c>
      <c r="D16" s="414" t="s">
        <v>76</v>
      </c>
      <c r="E16" s="414" t="s">
        <v>76</v>
      </c>
      <c r="F16" s="414" t="s">
        <v>76</v>
      </c>
      <c r="G16" s="414" t="s">
        <v>76</v>
      </c>
      <c r="H16" s="414" t="s">
        <v>76</v>
      </c>
      <c r="I16" s="414" t="s">
        <v>76</v>
      </c>
      <c r="J16" s="414" t="s">
        <v>76</v>
      </c>
    </row>
    <row r="18" ht="15.6" spans="2:6">
      <c r="B18" s="415" t="s">
        <v>136</v>
      </c>
      <c r="C18" s="415"/>
      <c r="D18" s="415"/>
      <c r="E18" s="415"/>
      <c r="F18" s="415"/>
    </row>
    <row r="19" ht="15.6" spans="2:6">
      <c r="B19" s="415" t="s">
        <v>137</v>
      </c>
      <c r="C19" s="415"/>
      <c r="D19" s="415"/>
      <c r="E19" s="415"/>
      <c r="F19" s="415"/>
    </row>
    <row r="20" ht="15.6" spans="2:6">
      <c r="B20" s="415" t="s">
        <v>138</v>
      </c>
    </row>
  </sheetData>
  <mergeCells count="1">
    <mergeCell ref="B4:C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showGridLines="0" zoomScale="70" zoomScaleNormal="70" workbookViewId="0">
      <selection activeCell="D17" sqref="D17"/>
    </sheetView>
  </sheetViews>
  <sheetFormatPr defaultColWidth="9" defaultRowHeight="15.6" outlineLevelCol="6"/>
  <cols>
    <col min="1" max="1" width="3.77777777777778" style="372" customWidth="1"/>
    <col min="2" max="6" width="17.2222222222222" style="372" customWidth="1"/>
    <col min="7" max="7" width="23.7777777777778" style="372" customWidth="1"/>
    <col min="8" max="8" width="17.2222222222222" style="372" customWidth="1"/>
    <col min="9" max="16384" width="9" style="372"/>
  </cols>
  <sheetData>
    <row r="1" ht="15.9" customHeight="1"/>
    <row r="2" ht="37.95" customHeight="1" spans="2:7">
      <c r="B2" s="373" t="s">
        <v>139</v>
      </c>
    </row>
    <row r="3" ht="15.9" customHeight="1" spans="2:7">
      <c r="B3" s="373"/>
    </row>
    <row r="4" ht="20.55" spans="2:7">
      <c r="B4" s="374" t="s">
        <v>140</v>
      </c>
      <c r="C4" s="374" t="s">
        <v>141</v>
      </c>
      <c r="D4" s="374"/>
      <c r="E4" s="374"/>
      <c r="F4" s="374"/>
      <c r="G4" s="374" t="s">
        <v>142</v>
      </c>
    </row>
    <row r="5" ht="41.1" customHeight="1" spans="2:7">
      <c r="B5" s="374"/>
      <c r="C5" s="375" t="s">
        <v>143</v>
      </c>
      <c r="D5" s="375" t="s">
        <v>144</v>
      </c>
      <c r="E5" s="375" t="s">
        <v>145</v>
      </c>
      <c r="F5" s="375" t="s">
        <v>146</v>
      </c>
      <c r="G5" s="374"/>
    </row>
    <row r="6" ht="27" customHeight="1" spans="2:7">
      <c r="B6" s="376" t="s">
        <v>147</v>
      </c>
      <c r="C6" s="377">
        <v>0.9</v>
      </c>
      <c r="D6" s="377">
        <v>0.95</v>
      </c>
      <c r="E6" s="377">
        <v>1</v>
      </c>
      <c r="F6" s="378">
        <v>1.05</v>
      </c>
      <c r="G6" s="379" t="s">
        <v>148</v>
      </c>
    </row>
    <row r="7" ht="27" customHeight="1" spans="2:7">
      <c r="B7" s="376" t="s">
        <v>149</v>
      </c>
      <c r="C7" s="377">
        <v>0.85</v>
      </c>
      <c r="D7" s="377">
        <v>0.9</v>
      </c>
      <c r="E7" s="377">
        <v>0.95</v>
      </c>
      <c r="F7" s="377">
        <v>1</v>
      </c>
      <c r="G7" s="379"/>
    </row>
    <row r="8" ht="27" customHeight="1" spans="2:7">
      <c r="B8" s="376" t="s">
        <v>150</v>
      </c>
      <c r="C8" s="377">
        <v>0.8</v>
      </c>
      <c r="D8" s="377">
        <v>0.85</v>
      </c>
      <c r="E8" s="377">
        <v>0.9</v>
      </c>
      <c r="F8" s="377">
        <v>0.95</v>
      </c>
      <c r="G8" s="379"/>
    </row>
    <row r="9" ht="27" customHeight="1" spans="2:7">
      <c r="B9" s="376" t="s">
        <v>147</v>
      </c>
      <c r="C9" s="377">
        <v>0.85</v>
      </c>
      <c r="D9" s="377">
        <v>0.9</v>
      </c>
      <c r="E9" s="377">
        <v>0.95</v>
      </c>
      <c r="F9" s="377">
        <v>1</v>
      </c>
      <c r="G9" s="379" t="s">
        <v>151</v>
      </c>
    </row>
    <row r="10" ht="27" customHeight="1" spans="2:7">
      <c r="B10" s="376" t="s">
        <v>149</v>
      </c>
      <c r="C10" s="377">
        <v>0.8</v>
      </c>
      <c r="D10" s="377">
        <v>0.85</v>
      </c>
      <c r="E10" s="377">
        <v>0.9</v>
      </c>
      <c r="F10" s="377">
        <v>0.95</v>
      </c>
      <c r="G10" s="379"/>
    </row>
    <row r="11" ht="27" customHeight="1" spans="2:7">
      <c r="B11" s="376" t="s">
        <v>150</v>
      </c>
      <c r="C11" s="377">
        <v>0.75</v>
      </c>
      <c r="D11" s="377">
        <v>0.8</v>
      </c>
      <c r="E11" s="377">
        <v>0.85</v>
      </c>
      <c r="F11" s="377">
        <v>0.9</v>
      </c>
      <c r="G11" s="379"/>
    </row>
    <row r="14" ht="28.95" customHeight="1" spans="2:7">
      <c r="B14" s="373" t="s">
        <v>152</v>
      </c>
    </row>
    <row r="16" ht="55.95" customHeight="1" spans="2:7">
      <c r="B16" s="380" t="s">
        <v>141</v>
      </c>
      <c r="C16" s="381" t="s">
        <v>153</v>
      </c>
      <c r="D16" s="380" t="s">
        <v>145</v>
      </c>
      <c r="E16" s="380" t="s">
        <v>154</v>
      </c>
      <c r="F16" s="380" t="s">
        <v>142</v>
      </c>
    </row>
    <row r="17" ht="55.95" customHeight="1" spans="2:6">
      <c r="B17" s="382" t="s">
        <v>155</v>
      </c>
      <c r="C17" s="383">
        <v>0.85</v>
      </c>
      <c r="D17" s="383">
        <v>0.9</v>
      </c>
      <c r="E17" s="383">
        <v>0.95</v>
      </c>
      <c r="F17" s="382" t="s">
        <v>156</v>
      </c>
    </row>
  </sheetData>
  <mergeCells count="5">
    <mergeCell ref="C4:F4"/>
    <mergeCell ref="B4:B5"/>
    <mergeCell ref="G4:G5"/>
    <mergeCell ref="G6:G8"/>
    <mergeCell ref="G9:G1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  <outlinePr summaryBelow="0" summaryRight="0"/>
  </sheetPr>
  <dimension ref="A1:R96"/>
  <sheetViews>
    <sheetView showGridLines="0" tabSelected="1" zoomScale="70" zoomScaleNormal="70" workbookViewId="0">
      <pane xSplit="6" ySplit="3" topLeftCell="G4" activePane="bottomRight" state="frozen"/>
      <selection/>
      <selection pane="topRight"/>
      <selection pane="bottomLeft"/>
      <selection pane="bottomRight" activeCell="O16" sqref="O16"/>
    </sheetView>
  </sheetViews>
  <sheetFormatPr defaultColWidth="8.88888888888889" defaultRowHeight="15.6"/>
  <cols>
    <col min="1" max="1" width="7.44444444444444" style="279" customWidth="1"/>
    <col min="2" max="2" width="12.4444444444444" style="279" customWidth="1"/>
    <col min="3" max="3" width="16.5555555555556" style="279" customWidth="1"/>
    <col min="4" max="4" width="17.3333333333333" style="280" customWidth="1"/>
    <col min="5" max="5" width="26.1111111111111" style="280" customWidth="1"/>
    <col min="6" max="6" width="8.33333333333333" style="279" customWidth="1"/>
    <col min="7" max="7" width="9.33333333333333" style="278" customWidth="1"/>
    <col min="8" max="8" width="15.8888888888889" style="278" customWidth="1"/>
    <col min="9" max="9" width="5.11111111111111" style="278" customWidth="1"/>
    <col min="10" max="10" width="8" style="278" customWidth="1"/>
    <col min="11" max="11" width="13.2222222222222" style="281" customWidth="1"/>
    <col min="12" max="12" width="14.6666666666667" style="281" customWidth="1"/>
    <col min="13" max="13" width="14.8888888888889" style="282" customWidth="1"/>
    <col min="14" max="14" width="8.66666666666667" style="278" customWidth="1"/>
    <col min="15" max="15" width="37.3333333333333" style="278" customWidth="1"/>
    <col min="16" max="16" width="8.66666666666667" style="278" customWidth="1"/>
    <col min="17" max="17" width="13.1111111111111" style="283" customWidth="1"/>
    <col min="18" max="18" width="13.1111111111111" style="278" customWidth="1"/>
    <col min="19" max="16384" width="8.88888888888889" style="278"/>
  </cols>
  <sheetData>
    <row r="1" s="277" customFormat="1" ht="23.25" customHeight="1" spans="1:18">
      <c r="A1" s="284" t="str">
        <f>'项目评估汇总（昆山90%）'!A1</f>
        <v>吉利P162大电池包高压</v>
      </c>
      <c r="B1" s="285"/>
      <c r="C1" s="285"/>
      <c r="D1" s="286"/>
      <c r="E1" s="286"/>
      <c r="F1" s="285"/>
      <c r="K1" s="287"/>
      <c r="L1" s="287"/>
      <c r="M1" s="288"/>
      <c r="Q1" s="289">
        <v>1</v>
      </c>
      <c r="R1" s="289">
        <v>2</v>
      </c>
    </row>
    <row r="2" ht="31.2" customHeight="1" spans="1:18">
      <c r="A2" s="290" t="s">
        <v>157</v>
      </c>
      <c r="B2" s="290"/>
      <c r="C2" s="291"/>
      <c r="D2" s="292"/>
      <c r="E2" s="292"/>
      <c r="F2" s="293"/>
      <c r="G2" s="294" t="s">
        <v>158</v>
      </c>
      <c r="H2" s="295"/>
      <c r="I2" s="294" t="s">
        <v>159</v>
      </c>
      <c r="J2" s="295"/>
      <c r="K2" s="296" t="s">
        <v>160</v>
      </c>
      <c r="L2" s="297"/>
      <c r="M2" s="298" t="s">
        <v>161</v>
      </c>
      <c r="N2" s="294" t="s">
        <v>3</v>
      </c>
      <c r="O2" s="299" t="s">
        <v>162</v>
      </c>
      <c r="P2" s="299" t="s">
        <v>163</v>
      </c>
      <c r="Q2" s="107" cm="1">
        <f t="array" ref="Q2:R2">TRANSPOSE(配置明细!$B$3:$B$4)</f>
        <v>6608523073</v>
      </c>
      <c r="R2" s="107">
        <v>6608523072</v>
      </c>
    </row>
    <row r="3" s="244" customFormat="1" ht="16.5" customHeight="1" spans="1:18">
      <c r="A3" s="300" t="s">
        <v>164</v>
      </c>
      <c r="B3" s="300" t="s">
        <v>165</v>
      </c>
      <c r="C3" s="300" t="s">
        <v>166</v>
      </c>
      <c r="D3" s="300" t="s">
        <v>167</v>
      </c>
      <c r="E3" s="300" t="s">
        <v>168</v>
      </c>
      <c r="F3" s="300" t="s">
        <v>169</v>
      </c>
      <c r="G3" s="300" t="s">
        <v>170</v>
      </c>
      <c r="H3" s="301" t="s">
        <v>4</v>
      </c>
      <c r="I3" s="300" t="s">
        <v>170</v>
      </c>
      <c r="J3" s="301" t="s">
        <v>4</v>
      </c>
      <c r="K3" s="302" t="s">
        <v>170</v>
      </c>
      <c r="L3" s="303" t="s">
        <v>4</v>
      </c>
      <c r="M3" s="304"/>
      <c r="N3" s="305"/>
      <c r="O3" s="306"/>
      <c r="P3" s="306"/>
      <c r="Q3" s="107" t="str" cm="1">
        <f t="array" ref="Q3:R3">TRANSPOSE(配置明细!D3:D4)</f>
        <v>组合式充电插座线束总成</v>
      </c>
      <c r="R3" s="107" t="str">
        <v>充电线束总成</v>
      </c>
    </row>
    <row r="4" s="278" customFormat="1" ht="16.5" customHeight="1" spans="1:18">
      <c r="A4" s="307" t="s">
        <v>171</v>
      </c>
      <c r="B4" s="308" t="s">
        <v>172</v>
      </c>
      <c r="C4" s="254" t="s">
        <v>173</v>
      </c>
      <c r="D4" s="254" t="s">
        <v>174</v>
      </c>
      <c r="E4" s="254" t="s">
        <v>175</v>
      </c>
      <c r="F4" s="254" t="s">
        <v>176</v>
      </c>
      <c r="G4" s="309">
        <f>SUM(Q4:R4)</f>
        <v>0.12</v>
      </c>
      <c r="H4" s="310"/>
      <c r="I4" s="311"/>
      <c r="J4" s="310"/>
      <c r="K4" s="312">
        <f>G4-I4</f>
        <v>0.12</v>
      </c>
      <c r="L4" s="313">
        <f>K4*M4</f>
        <v>93600</v>
      </c>
      <c r="M4" s="314">
        <v>780000</v>
      </c>
      <c r="N4" s="315"/>
      <c r="O4" s="316"/>
      <c r="P4" s="316"/>
      <c r="Q4" s="317">
        <v>0.07</v>
      </c>
      <c r="R4" s="317">
        <v>0.05</v>
      </c>
    </row>
    <row r="5" s="278" customFormat="1" ht="16.5" customHeight="1" spans="1:18">
      <c r="A5" s="307" t="s">
        <v>171</v>
      </c>
      <c r="B5" s="308" t="s">
        <v>172</v>
      </c>
      <c r="C5" s="254" t="s">
        <v>173</v>
      </c>
      <c r="D5" s="254" t="s">
        <v>177</v>
      </c>
      <c r="E5" s="254" t="s">
        <v>178</v>
      </c>
      <c r="F5" s="254" t="s">
        <v>176</v>
      </c>
      <c r="G5" s="309">
        <f t="shared" ref="G5:G23" si="0">SUM(Q5:R5)</f>
        <v>0.28</v>
      </c>
      <c r="H5" s="310"/>
      <c r="I5" s="311"/>
      <c r="J5" s="310"/>
      <c r="K5" s="312">
        <f t="shared" ref="K5:K24" si="1">G5-I5</f>
        <v>0.28</v>
      </c>
      <c r="L5" s="313">
        <f t="shared" ref="L5:L20" si="2">K5*M5</f>
        <v>341946.9032</v>
      </c>
      <c r="M5" s="314">
        <v>1221238.94</v>
      </c>
      <c r="N5" s="315"/>
      <c r="O5" s="316"/>
      <c r="P5" s="316"/>
      <c r="Q5" s="317">
        <v>0.28</v>
      </c>
      <c r="R5" s="317">
        <v>0</v>
      </c>
    </row>
    <row r="6" s="278" customFormat="1" ht="16.5" customHeight="1" spans="1:18">
      <c r="A6" s="307" t="s">
        <v>171</v>
      </c>
      <c r="B6" s="308" t="s">
        <v>172</v>
      </c>
      <c r="C6" s="254" t="s">
        <v>179</v>
      </c>
      <c r="D6" s="254" t="s">
        <v>180</v>
      </c>
      <c r="E6" s="254" t="s">
        <v>181</v>
      </c>
      <c r="F6" s="254" t="s">
        <v>176</v>
      </c>
      <c r="G6" s="309">
        <f t="shared" si="0"/>
        <v>0.86</v>
      </c>
      <c r="H6" s="310"/>
      <c r="I6" s="311"/>
      <c r="J6" s="310"/>
      <c r="K6" s="312">
        <f t="shared" si="1"/>
        <v>0.86</v>
      </c>
      <c r="L6" s="313">
        <f t="shared" si="2"/>
        <v>72699.4034</v>
      </c>
      <c r="M6" s="314">
        <v>84534.19</v>
      </c>
      <c r="N6" s="315"/>
      <c r="O6" s="316"/>
      <c r="P6" s="316"/>
      <c r="Q6" s="317">
        <v>0</v>
      </c>
      <c r="R6" s="317">
        <v>0.86</v>
      </c>
    </row>
    <row r="7" s="278" customFormat="1" ht="16.5" customHeight="1" spans="1:18">
      <c r="A7" s="307" t="s">
        <v>171</v>
      </c>
      <c r="B7" s="308" t="s">
        <v>172</v>
      </c>
      <c r="C7" s="254" t="s">
        <v>179</v>
      </c>
      <c r="D7" s="254" t="s">
        <v>182</v>
      </c>
      <c r="E7" s="254" t="s">
        <v>183</v>
      </c>
      <c r="F7" s="254" t="s">
        <v>176</v>
      </c>
      <c r="G7" s="309">
        <f t="shared" si="0"/>
        <v>0.49</v>
      </c>
      <c r="H7" s="310"/>
      <c r="I7" s="311"/>
      <c r="J7" s="310"/>
      <c r="K7" s="312">
        <f t="shared" si="1"/>
        <v>0.49</v>
      </c>
      <c r="L7" s="313">
        <f t="shared" si="2"/>
        <v>7742</v>
      </c>
      <c r="M7" s="314">
        <v>15800</v>
      </c>
      <c r="N7" s="315"/>
      <c r="O7" s="316" t="s">
        <v>184</v>
      </c>
      <c r="P7" s="316"/>
      <c r="Q7" s="317">
        <v>0.49</v>
      </c>
      <c r="R7" s="317">
        <v>0</v>
      </c>
    </row>
    <row r="8" s="278" customFormat="1" ht="16.5" customHeight="1" spans="1:18">
      <c r="A8" s="307" t="s">
        <v>171</v>
      </c>
      <c r="B8" s="308" t="s">
        <v>172</v>
      </c>
      <c r="C8" s="254" t="s">
        <v>185</v>
      </c>
      <c r="D8" s="254" t="s">
        <v>186</v>
      </c>
      <c r="E8" s="254" t="s">
        <v>187</v>
      </c>
      <c r="F8" s="254" t="s">
        <v>176</v>
      </c>
      <c r="G8" s="309">
        <f t="shared" si="0"/>
        <v>0.54</v>
      </c>
      <c r="H8" s="310"/>
      <c r="I8" s="311"/>
      <c r="J8" s="310"/>
      <c r="K8" s="312">
        <f t="shared" si="1"/>
        <v>0.54</v>
      </c>
      <c r="L8" s="313">
        <f t="shared" si="2"/>
        <v>420531.48</v>
      </c>
      <c r="M8" s="314">
        <v>778762</v>
      </c>
      <c r="N8" s="315"/>
      <c r="O8" s="316" t="s">
        <v>188</v>
      </c>
      <c r="P8" s="316"/>
      <c r="Q8" s="317">
        <v>0</v>
      </c>
      <c r="R8" s="317">
        <v>0.54</v>
      </c>
    </row>
    <row r="9" s="278" customFormat="1" ht="16.5" customHeight="1" spans="1:18">
      <c r="A9" s="307" t="s">
        <v>171</v>
      </c>
      <c r="B9" s="308" t="s">
        <v>172</v>
      </c>
      <c r="C9" s="254" t="s">
        <v>185</v>
      </c>
      <c r="D9" s="254" t="s">
        <v>189</v>
      </c>
      <c r="E9" s="254" t="s">
        <v>190</v>
      </c>
      <c r="F9" s="254" t="s">
        <v>176</v>
      </c>
      <c r="G9" s="309">
        <f t="shared" si="0"/>
        <v>1.38</v>
      </c>
      <c r="H9" s="310"/>
      <c r="I9" s="311"/>
      <c r="J9" s="310"/>
      <c r="K9" s="312">
        <f t="shared" si="1"/>
        <v>1.38</v>
      </c>
      <c r="L9" s="313">
        <f t="shared" si="2"/>
        <v>857307.474</v>
      </c>
      <c r="M9" s="318">
        <v>621237.3</v>
      </c>
      <c r="N9" s="315"/>
      <c r="O9" s="316" t="s">
        <v>191</v>
      </c>
      <c r="P9" s="316"/>
      <c r="Q9" s="317">
        <v>1.38</v>
      </c>
      <c r="R9" s="317">
        <v>0</v>
      </c>
    </row>
    <row r="10" s="278" customFormat="1" ht="16.5" customHeight="1" spans="1:18">
      <c r="A10" s="307" t="s">
        <v>171</v>
      </c>
      <c r="B10" s="308" t="s">
        <v>172</v>
      </c>
      <c r="C10" s="254" t="s">
        <v>192</v>
      </c>
      <c r="D10" s="254" t="s">
        <v>193</v>
      </c>
      <c r="E10" s="254" t="s">
        <v>194</v>
      </c>
      <c r="F10" s="254" t="s">
        <v>176</v>
      </c>
      <c r="G10" s="309">
        <f t="shared" si="0"/>
        <v>0.86</v>
      </c>
      <c r="H10" s="310"/>
      <c r="I10" s="311"/>
      <c r="J10" s="310"/>
      <c r="K10" s="312">
        <f t="shared" si="1"/>
        <v>0.86</v>
      </c>
      <c r="L10" s="313">
        <f t="shared" si="2"/>
        <v>120400</v>
      </c>
      <c r="M10" s="314">
        <v>140000</v>
      </c>
      <c r="N10" s="315"/>
      <c r="O10" s="316" t="s">
        <v>195</v>
      </c>
      <c r="P10" s="316"/>
      <c r="Q10" s="317">
        <v>0</v>
      </c>
      <c r="R10" s="317">
        <v>0.86</v>
      </c>
    </row>
    <row r="11" s="278" customFormat="1" ht="16.5" customHeight="1" spans="1:18">
      <c r="A11" s="307" t="s">
        <v>171</v>
      </c>
      <c r="B11" s="308" t="s">
        <v>172</v>
      </c>
      <c r="C11" s="254" t="s">
        <v>196</v>
      </c>
      <c r="D11" s="254" t="s">
        <v>197</v>
      </c>
      <c r="E11" s="254" t="s">
        <v>198</v>
      </c>
      <c r="F11" s="254" t="s">
        <v>176</v>
      </c>
      <c r="G11" s="309">
        <f t="shared" si="0"/>
        <v>1.7</v>
      </c>
      <c r="H11" s="310"/>
      <c r="I11" s="311"/>
      <c r="J11" s="310"/>
      <c r="K11" s="312">
        <f t="shared" si="1"/>
        <v>1.7</v>
      </c>
      <c r="L11" s="313">
        <f t="shared" si="2"/>
        <v>663000</v>
      </c>
      <c r="M11" s="314">
        <v>390000</v>
      </c>
      <c r="N11" s="315"/>
      <c r="O11" s="316"/>
      <c r="P11" s="316"/>
      <c r="Q11" s="317">
        <v>0.84</v>
      </c>
      <c r="R11" s="317">
        <v>0.86</v>
      </c>
    </row>
    <row r="12" s="278" customFormat="1" ht="16.5" customHeight="1" spans="1:18">
      <c r="A12" s="307" t="s">
        <v>171</v>
      </c>
      <c r="B12" s="308" t="s">
        <v>172</v>
      </c>
      <c r="C12" s="254" t="s">
        <v>196</v>
      </c>
      <c r="D12" s="254" t="s">
        <v>199</v>
      </c>
      <c r="E12" s="254"/>
      <c r="F12" s="254"/>
      <c r="G12" s="309">
        <f t="shared" si="0"/>
        <v>0.43</v>
      </c>
      <c r="H12" s="310"/>
      <c r="I12" s="311"/>
      <c r="J12" s="310"/>
      <c r="K12" s="312">
        <f t="shared" si="1"/>
        <v>0.43</v>
      </c>
      <c r="L12" s="313">
        <f t="shared" si="2"/>
        <v>86000</v>
      </c>
      <c r="M12" s="314">
        <v>200000</v>
      </c>
      <c r="N12" s="315"/>
      <c r="O12" s="316"/>
      <c r="P12" s="316"/>
      <c r="Q12" s="317">
        <v>0.43</v>
      </c>
      <c r="R12" s="317">
        <v>0</v>
      </c>
    </row>
    <row r="13" s="278" customFormat="1" ht="16.5" customHeight="1" spans="1:18">
      <c r="A13" s="307" t="s">
        <v>171</v>
      </c>
      <c r="B13" s="308" t="s">
        <v>172</v>
      </c>
      <c r="C13" s="254" t="s">
        <v>200</v>
      </c>
      <c r="D13" s="254" t="s">
        <v>201</v>
      </c>
      <c r="E13" s="254" t="s">
        <v>202</v>
      </c>
      <c r="F13" s="254" t="s">
        <v>176</v>
      </c>
      <c r="G13" s="309">
        <f t="shared" si="0"/>
        <v>1</v>
      </c>
      <c r="H13" s="310"/>
      <c r="I13" s="311"/>
      <c r="J13" s="310"/>
      <c r="K13" s="312">
        <f t="shared" si="1"/>
        <v>1</v>
      </c>
      <c r="L13" s="313">
        <f t="shared" si="2"/>
        <v>188000</v>
      </c>
      <c r="M13" s="314">
        <v>188000</v>
      </c>
      <c r="N13" s="315"/>
      <c r="O13" s="316"/>
      <c r="P13" s="316"/>
      <c r="Q13" s="317">
        <v>1</v>
      </c>
      <c r="R13" s="317">
        <v>0</v>
      </c>
    </row>
    <row r="14" s="278" customFormat="1" ht="16.5" customHeight="1" spans="1:18">
      <c r="A14" s="307" t="s">
        <v>171</v>
      </c>
      <c r="B14" s="308" t="s">
        <v>172</v>
      </c>
      <c r="C14" s="254" t="s">
        <v>185</v>
      </c>
      <c r="D14" s="254" t="s">
        <v>203</v>
      </c>
      <c r="E14" s="254" t="s">
        <v>204</v>
      </c>
      <c r="F14" s="254" t="s">
        <v>176</v>
      </c>
      <c r="G14" s="309">
        <f t="shared" si="0"/>
        <v>0.05</v>
      </c>
      <c r="H14" s="310"/>
      <c r="I14" s="311"/>
      <c r="J14" s="310"/>
      <c r="K14" s="312">
        <f t="shared" si="1"/>
        <v>0.05</v>
      </c>
      <c r="L14" s="313">
        <f t="shared" si="2"/>
        <v>11021.416</v>
      </c>
      <c r="M14" s="314">
        <v>220428.32</v>
      </c>
      <c r="N14" s="315"/>
      <c r="O14" s="316"/>
      <c r="P14" s="316"/>
      <c r="Q14" s="317">
        <v>0.05</v>
      </c>
      <c r="R14" s="317">
        <v>0</v>
      </c>
    </row>
    <row r="15" s="278" customFormat="1" ht="16.5" customHeight="1" spans="1:18">
      <c r="A15" s="307" t="s">
        <v>171</v>
      </c>
      <c r="B15" s="308" t="s">
        <v>172</v>
      </c>
      <c r="C15" s="254" t="s">
        <v>185</v>
      </c>
      <c r="D15" s="254" t="s">
        <v>205</v>
      </c>
      <c r="E15" s="254" t="s">
        <v>206</v>
      </c>
      <c r="F15" s="254" t="s">
        <v>176</v>
      </c>
      <c r="G15" s="309">
        <f t="shared" si="0"/>
        <v>0.14</v>
      </c>
      <c r="H15" s="310"/>
      <c r="I15" s="311"/>
      <c r="J15" s="310"/>
      <c r="K15" s="312">
        <f t="shared" si="1"/>
        <v>0.14</v>
      </c>
      <c r="L15" s="313">
        <f t="shared" si="2"/>
        <v>86973.222</v>
      </c>
      <c r="M15" s="314">
        <v>621237.3</v>
      </c>
      <c r="N15" s="315"/>
      <c r="O15" s="316"/>
      <c r="P15" s="316"/>
      <c r="Q15" s="317">
        <v>0.14</v>
      </c>
      <c r="R15" s="317">
        <v>0</v>
      </c>
    </row>
    <row r="16" s="278" customFormat="1" spans="1:18">
      <c r="A16" s="319"/>
      <c r="B16" s="308"/>
      <c r="C16" s="320"/>
      <c r="D16" s="321"/>
      <c r="E16" s="321"/>
      <c r="F16" s="321"/>
      <c r="G16" s="309"/>
      <c r="H16" s="322"/>
      <c r="I16" s="301"/>
      <c r="J16" s="322"/>
      <c r="K16" s="312"/>
      <c r="L16" s="313"/>
      <c r="M16" s="323"/>
      <c r="N16" s="305"/>
      <c r="O16" s="305"/>
      <c r="P16" s="305"/>
      <c r="Q16" s="317"/>
      <c r="R16" s="317"/>
    </row>
    <row r="17" s="278" customFormat="1" spans="1:18">
      <c r="A17" s="319"/>
      <c r="B17" s="308"/>
      <c r="C17" s="320"/>
      <c r="D17" s="321"/>
      <c r="E17" s="321"/>
      <c r="F17" s="321"/>
      <c r="G17" s="309"/>
      <c r="H17" s="322"/>
      <c r="I17" s="301"/>
      <c r="J17" s="322"/>
      <c r="K17" s="312"/>
      <c r="L17" s="313"/>
      <c r="M17" s="323"/>
      <c r="N17" s="305"/>
      <c r="O17" s="305"/>
      <c r="P17" s="305"/>
      <c r="Q17" s="317"/>
      <c r="R17" s="317"/>
    </row>
    <row r="18" s="278" customFormat="1" spans="1:18">
      <c r="A18" s="319"/>
      <c r="B18" s="308"/>
      <c r="C18" s="320"/>
      <c r="D18" s="321"/>
      <c r="E18" s="321"/>
      <c r="F18" s="321"/>
      <c r="G18" s="309"/>
      <c r="H18" s="322"/>
      <c r="I18" s="301"/>
      <c r="J18" s="322"/>
      <c r="K18" s="312"/>
      <c r="L18" s="313"/>
      <c r="M18" s="323"/>
      <c r="N18" s="305"/>
      <c r="O18" s="305"/>
      <c r="P18" s="305"/>
      <c r="Q18" s="317"/>
      <c r="R18" s="317"/>
    </row>
    <row r="19" s="278" customFormat="1" spans="1:18">
      <c r="A19" s="319"/>
      <c r="B19" s="308"/>
      <c r="C19" s="320"/>
      <c r="D19" s="321"/>
      <c r="E19" s="321"/>
      <c r="F19" s="321"/>
      <c r="G19" s="309"/>
      <c r="H19" s="322"/>
      <c r="I19" s="301"/>
      <c r="J19" s="322"/>
      <c r="K19" s="312"/>
      <c r="L19" s="313"/>
      <c r="M19" s="323"/>
      <c r="N19" s="305"/>
      <c r="O19" s="305"/>
      <c r="P19" s="305"/>
      <c r="Q19" s="317"/>
      <c r="R19" s="317"/>
    </row>
    <row r="20" ht="15" customHeight="1" spans="1:18">
      <c r="A20" s="324"/>
      <c r="B20" s="325"/>
      <c r="C20" s="325"/>
      <c r="D20" s="325"/>
      <c r="E20" s="325"/>
      <c r="F20" s="325"/>
      <c r="G20" s="326" t="s">
        <v>207</v>
      </c>
      <c r="H20" s="327">
        <f>SUM(L4:L19)</f>
        <v>2949221.8986</v>
      </c>
      <c r="I20" s="327"/>
      <c r="J20" s="328" t="s">
        <v>208</v>
      </c>
      <c r="K20" s="329">
        <f>H20/10*6/'项目评估汇总（昆山90%）'!E5</f>
        <v>8.80364745850746</v>
      </c>
      <c r="L20" s="330"/>
      <c r="M20" s="331"/>
      <c r="N20" s="332"/>
      <c r="O20" s="332"/>
      <c r="P20" s="332"/>
      <c r="Q20" s="332" cm="1">
        <f t="array" ref="Q20">SUMPRODUCT(Q4:Q18,$M$4:$M$18)/10*6/Q33</f>
        <v>5.85430153791045</v>
      </c>
      <c r="R20" s="332" cm="1">
        <f t="array" ref="R20">SUMPRODUCT(R4:R18,$M$4:$M$18)/10*6/R33</f>
        <v>2.94934592059701</v>
      </c>
    </row>
    <row r="21" ht="30.75" customHeight="1" spans="1:18">
      <c r="A21" s="333" t="s">
        <v>209</v>
      </c>
      <c r="B21" s="334"/>
      <c r="C21" s="334"/>
      <c r="D21" s="334"/>
      <c r="E21" s="334"/>
      <c r="F21" s="334"/>
      <c r="G21" s="334"/>
      <c r="H21" s="334"/>
      <c r="I21" s="334"/>
      <c r="J21" s="334"/>
      <c r="K21" s="335"/>
      <c r="L21" s="335"/>
      <c r="M21" s="336"/>
      <c r="N21" s="337"/>
      <c r="O21" s="337"/>
      <c r="P21" s="337"/>
      <c r="Q21" s="338"/>
      <c r="R21" s="338"/>
    </row>
    <row r="22" ht="15.75" customHeight="1" spans="1:18">
      <c r="A22" s="339" t="s">
        <v>210</v>
      </c>
      <c r="B22" s="340" t="s">
        <v>211</v>
      </c>
      <c r="C22" s="340" t="s">
        <v>212</v>
      </c>
      <c r="D22" s="666" t="s">
        <v>213</v>
      </c>
      <c r="E22" s="254" t="s">
        <v>194</v>
      </c>
      <c r="F22" s="254" t="s">
        <v>214</v>
      </c>
      <c r="G22" s="309">
        <f>SUM(Q22:R22)</f>
        <v>6.81</v>
      </c>
      <c r="H22" s="341"/>
      <c r="I22" s="342"/>
      <c r="J22" s="341"/>
      <c r="K22" s="313">
        <f>G22-I22</f>
        <v>6.81</v>
      </c>
      <c r="L22" s="313">
        <f>K22*M22</f>
        <v>79677</v>
      </c>
      <c r="M22" s="343">
        <v>11700</v>
      </c>
      <c r="N22" s="344"/>
      <c r="O22" s="344" t="s">
        <v>215</v>
      </c>
      <c r="P22" s="345"/>
      <c r="Q22" s="317">
        <v>4.81</v>
      </c>
      <c r="R22" s="317">
        <v>2</v>
      </c>
    </row>
    <row r="23" ht="15.75" customHeight="1" spans="1:18">
      <c r="A23" s="339" t="s">
        <v>210</v>
      </c>
      <c r="B23" s="340" t="s">
        <v>211</v>
      </c>
      <c r="C23" s="340" t="s">
        <v>216</v>
      </c>
      <c r="D23" s="666" t="s">
        <v>217</v>
      </c>
      <c r="E23" s="254" t="s">
        <v>218</v>
      </c>
      <c r="F23" s="254" t="s">
        <v>214</v>
      </c>
      <c r="G23" s="309">
        <f>SUM(Q23:R23)</f>
        <v>1</v>
      </c>
      <c r="H23" s="341"/>
      <c r="I23" s="342"/>
      <c r="J23" s="341"/>
      <c r="K23" s="313">
        <f>G23-I23</f>
        <v>1</v>
      </c>
      <c r="L23" s="313">
        <f>K23*M23</f>
        <v>90000</v>
      </c>
      <c r="M23" s="343">
        <v>90000</v>
      </c>
      <c r="N23" s="344"/>
      <c r="O23" s="345"/>
      <c r="P23" s="345"/>
      <c r="Q23" s="317">
        <v>1</v>
      </c>
      <c r="R23" s="317">
        <v>0</v>
      </c>
    </row>
    <row r="24" ht="15.75" customHeight="1" spans="1:18">
      <c r="A24" s="307"/>
      <c r="B24" s="340"/>
      <c r="C24" s="340"/>
      <c r="D24" s="254"/>
      <c r="E24" s="254"/>
      <c r="F24" s="254"/>
      <c r="G24" s="309"/>
      <c r="H24" s="341"/>
      <c r="I24" s="342"/>
      <c r="J24" s="341"/>
      <c r="K24" s="313">
        <f>G24-I24</f>
        <v>0</v>
      </c>
      <c r="L24" s="313">
        <f>K24*M24</f>
        <v>0</v>
      </c>
      <c r="M24" s="343"/>
      <c r="N24" s="344"/>
      <c r="O24" s="345"/>
      <c r="P24" s="345"/>
      <c r="Q24" s="317"/>
      <c r="R24" s="317"/>
    </row>
    <row r="25" ht="15.75" customHeight="1" spans="1:18">
      <c r="A25" s="307"/>
      <c r="B25" s="340"/>
      <c r="C25" s="340"/>
      <c r="D25" s="254"/>
      <c r="E25" s="254"/>
      <c r="F25" s="254"/>
      <c r="G25" s="309"/>
      <c r="H25" s="341"/>
      <c r="I25" s="342"/>
      <c r="J25" s="341"/>
      <c r="K25" s="313"/>
      <c r="L25" s="313"/>
      <c r="M25" s="343"/>
      <c r="N25" s="344"/>
      <c r="O25" s="345"/>
      <c r="P25" s="345"/>
      <c r="Q25" s="317"/>
      <c r="R25" s="317"/>
    </row>
    <row r="26" ht="15.75" customHeight="1" spans="1:18">
      <c r="A26" s="307"/>
      <c r="B26" s="340"/>
      <c r="C26" s="340"/>
      <c r="D26" s="254"/>
      <c r="E26" s="254"/>
      <c r="F26" s="254"/>
      <c r="G26" s="309"/>
      <c r="H26" s="341"/>
      <c r="I26" s="342"/>
      <c r="J26" s="341"/>
      <c r="K26" s="313"/>
      <c r="L26" s="313"/>
      <c r="M26" s="343"/>
      <c r="N26" s="344"/>
      <c r="O26" s="344"/>
      <c r="P26" s="344"/>
      <c r="Q26" s="317"/>
      <c r="R26" s="317"/>
    </row>
    <row r="27" ht="15.75" customHeight="1" spans="1:18">
      <c r="A27" s="307"/>
      <c r="B27" s="340"/>
      <c r="C27" s="340"/>
      <c r="D27" s="254"/>
      <c r="E27" s="254"/>
      <c r="F27" s="254" t="s">
        <v>219</v>
      </c>
      <c r="G27" s="309"/>
      <c r="H27" s="346"/>
      <c r="I27" s="347"/>
      <c r="J27" s="348"/>
      <c r="K27" s="313">
        <f>G27-I27</f>
        <v>0</v>
      </c>
      <c r="L27" s="313">
        <f>K27*M27</f>
        <v>0</v>
      </c>
      <c r="M27" s="349"/>
      <c r="N27" s="350"/>
      <c r="O27" s="350"/>
      <c r="P27" s="350"/>
      <c r="Q27" s="317"/>
      <c r="R27" s="317"/>
    </row>
    <row r="28" ht="15" customHeight="1" spans="1:18">
      <c r="A28" s="351"/>
      <c r="B28" s="352"/>
      <c r="C28" s="352"/>
      <c r="D28" s="321"/>
      <c r="E28" s="321"/>
      <c r="F28" s="352"/>
      <c r="G28" s="353"/>
      <c r="H28" s="322"/>
      <c r="I28" s="353"/>
      <c r="J28" s="354"/>
      <c r="K28" s="355"/>
      <c r="L28" s="303"/>
      <c r="M28" s="356"/>
      <c r="N28" s="357"/>
      <c r="O28" s="357"/>
      <c r="P28" s="357"/>
      <c r="Q28" s="357"/>
      <c r="R28" s="357"/>
    </row>
    <row r="29" ht="15" customHeight="1" spans="1:18">
      <c r="A29" s="358"/>
      <c r="B29" s="358"/>
      <c r="C29" s="358"/>
      <c r="D29" s="358"/>
      <c r="E29" s="358"/>
      <c r="F29" s="358"/>
      <c r="G29" s="358" t="s">
        <v>207</v>
      </c>
      <c r="H29" s="359">
        <f>SUM(L22:L28)</f>
        <v>169677</v>
      </c>
      <c r="I29" s="360" t="s">
        <v>208</v>
      </c>
      <c r="J29" s="361">
        <f>H29/'项目评估汇总（昆山90%）'!E5</f>
        <v>0.844164179104478</v>
      </c>
      <c r="K29" s="362"/>
      <c r="L29" s="363"/>
      <c r="M29" s="364"/>
      <c r="N29" s="360"/>
      <c r="O29" s="360"/>
      <c r="P29" s="360"/>
      <c r="Q29" s="365" cm="1">
        <f t="array" ref="Q29">SUMPRODUCT(Q22:Q27,$M$22:$M$27)/Q33</f>
        <v>0.727746268656716</v>
      </c>
      <c r="R29" s="365" cm="1">
        <f t="array" ref="R29">SUMPRODUCT(R22:R27,$M$22:$M$27)/R33</f>
        <v>0.116417910447761</v>
      </c>
    </row>
    <row r="30" ht="15" customHeight="1" spans="1:18">
      <c r="D30" s="279"/>
      <c r="E30" s="279"/>
      <c r="G30" s="279"/>
      <c r="H30" s="279"/>
      <c r="I30" s="279"/>
      <c r="J30" s="279"/>
      <c r="K30" s="366"/>
      <c r="L30" s="366"/>
      <c r="M30" s="367"/>
      <c r="N30" s="279"/>
      <c r="O30" s="279"/>
      <c r="P30" s="279"/>
      <c r="Q30" s="368"/>
      <c r="R30" s="368"/>
    </row>
    <row r="31" s="279" customFormat="1" ht="20.1" customHeight="1" spans="1:18">
      <c r="K31" s="366"/>
      <c r="L31" s="366"/>
      <c r="M31" s="367" t="s">
        <v>220</v>
      </c>
      <c r="N31" s="369" t="s">
        <v>103</v>
      </c>
      <c r="O31" s="369"/>
      <c r="P31" s="369"/>
      <c r="Q31" s="368">
        <f>'项目评估汇总（昆山90%）'!P35</f>
        <v>1</v>
      </c>
      <c r="R31" s="368">
        <f>'项目评估汇总（昆山90%）'!Q35</f>
        <v>1</v>
      </c>
    </row>
    <row r="32" s="279" customFormat="1" ht="20.1" customHeight="1" spans="1:18">
      <c r="K32" s="366"/>
      <c r="L32" s="366"/>
      <c r="M32" s="367"/>
      <c r="N32" s="369" t="s">
        <v>221</v>
      </c>
      <c r="O32" s="369"/>
      <c r="P32" s="369"/>
      <c r="Q32" s="370">
        <f>'项目评估汇总（昆山90%）'!$E$5</f>
        <v>201000</v>
      </c>
      <c r="R32" s="370">
        <f>'项目评估汇总（昆山90%）'!$E$5</f>
        <v>201000</v>
      </c>
    </row>
    <row r="33" s="279" customFormat="1" ht="20.1" customHeight="1" spans="1:18">
      <c r="A33" s="279" t="s">
        <v>222</v>
      </c>
      <c r="K33" s="366"/>
      <c r="L33" s="366"/>
      <c r="M33" s="367"/>
      <c r="N33" s="369" t="s">
        <v>170</v>
      </c>
      <c r="O33" s="369"/>
      <c r="P33" s="369"/>
      <c r="Q33" s="279">
        <f>Q32*Q31</f>
        <v>201000</v>
      </c>
      <c r="R33" s="279">
        <f>R32*R31</f>
        <v>201000</v>
      </c>
    </row>
    <row r="34" s="279" customFormat="1" ht="20.1" customHeight="1" spans="1:18">
      <c r="A34" s="279" t="s">
        <v>223</v>
      </c>
      <c r="K34" s="366"/>
      <c r="L34" s="366"/>
      <c r="M34" s="367"/>
      <c r="Q34" s="368"/>
    </row>
    <row r="35" s="279" customFormat="1" ht="20.1" customHeight="1" spans="1:18">
      <c r="A35" s="371" t="s">
        <v>224</v>
      </c>
      <c r="K35" s="366"/>
      <c r="L35" s="366"/>
      <c r="M35" s="367"/>
      <c r="Q35" s="368"/>
    </row>
    <row r="36" s="279" customFormat="1" ht="20.1" customHeight="1" spans="1:18">
      <c r="A36" s="279" t="s">
        <v>225</v>
      </c>
      <c r="K36" s="366"/>
      <c r="L36" s="366"/>
      <c r="M36" s="367"/>
      <c r="Q36" s="368">
        <f>Q29+项目专用模具!O10+'项目工装投入 '!O15</f>
        <v>3.94871144278607</v>
      </c>
      <c r="R36" s="368">
        <f>R29+项目专用模具!P10+'项目工装投入 '!P15</f>
        <v>2.0145671641791</v>
      </c>
    </row>
    <row r="37" s="279" customFormat="1" ht="20.1" customHeight="1" spans="1:18">
      <c r="K37" s="366"/>
      <c r="L37" s="366"/>
      <c r="M37" s="367"/>
      <c r="O37" s="366" cm="1">
        <f t="array" ref="O37">SUMPRODUCT(Q29:R29,Q31:R31)</f>
        <v>0.844164179104478</v>
      </c>
      <c r="Q37" s="368"/>
    </row>
    <row r="38" s="279" customFormat="1" ht="20.1" customHeight="1" spans="1:18">
      <c r="K38" s="366"/>
      <c r="L38" s="366"/>
      <c r="M38" s="367"/>
      <c r="Q38" s="368"/>
    </row>
    <row r="39" s="279" customFormat="1" ht="20.1" customHeight="1" spans="1:18">
      <c r="D39" s="280"/>
      <c r="E39" s="280"/>
      <c r="K39" s="366"/>
      <c r="L39" s="366"/>
      <c r="M39" s="367"/>
      <c r="Q39" s="368"/>
    </row>
    <row r="40" s="279" customFormat="1" ht="20.1" customHeight="1" spans="1:18">
      <c r="D40" s="280"/>
      <c r="E40" s="280"/>
      <c r="K40" s="366"/>
      <c r="L40" s="366"/>
      <c r="M40" s="367"/>
      <c r="Q40" s="368"/>
    </row>
    <row r="41" s="279" customFormat="1" ht="20.1" customHeight="1" spans="1:18">
      <c r="D41" s="280"/>
      <c r="E41" s="280"/>
      <c r="K41" s="366"/>
      <c r="L41" s="366"/>
      <c r="M41" s="367"/>
      <c r="Q41" s="368"/>
    </row>
    <row r="42" s="279" customFormat="1" ht="20.1" customHeight="1" spans="1:18">
      <c r="D42" s="280"/>
      <c r="E42" s="280"/>
      <c r="K42" s="366"/>
      <c r="L42" s="366"/>
      <c r="M42" s="367"/>
      <c r="Q42" s="368"/>
    </row>
    <row r="43" s="279" customFormat="1" ht="20.1" customHeight="1" spans="1:18">
      <c r="D43" s="280"/>
      <c r="E43" s="280"/>
      <c r="K43" s="366"/>
      <c r="L43" s="366"/>
      <c r="M43" s="367"/>
      <c r="Q43" s="368"/>
    </row>
    <row r="44" s="279" customFormat="1" ht="20.1" customHeight="1" spans="1:18">
      <c r="D44" s="280"/>
      <c r="E44" s="280"/>
      <c r="K44" s="366"/>
      <c r="L44" s="366"/>
      <c r="M44" s="367"/>
      <c r="Q44" s="368"/>
    </row>
    <row r="45" s="279" customFormat="1" ht="20.1" customHeight="1" spans="1:18">
      <c r="D45" s="280"/>
      <c r="E45" s="280"/>
      <c r="K45" s="366"/>
      <c r="L45" s="366"/>
      <c r="M45" s="367"/>
      <c r="Q45" s="368"/>
    </row>
    <row r="46" s="279" customFormat="1" ht="20.1" customHeight="1" spans="1:18">
      <c r="D46" s="280"/>
      <c r="E46" s="280"/>
      <c r="K46" s="366"/>
      <c r="L46" s="366"/>
      <c r="M46" s="367"/>
      <c r="Q46" s="368"/>
    </row>
    <row r="47" s="279" customFormat="1" ht="20.1" customHeight="1" spans="1:18">
      <c r="D47" s="280"/>
      <c r="E47" s="280"/>
      <c r="K47" s="366"/>
      <c r="L47" s="366"/>
      <c r="M47" s="367"/>
      <c r="Q47" s="368"/>
    </row>
    <row r="48" s="279" customFormat="1" ht="20.1" customHeight="1" spans="1:18">
      <c r="D48" s="280"/>
      <c r="E48" s="280"/>
      <c r="K48" s="366"/>
      <c r="L48" s="366"/>
      <c r="M48" s="367"/>
      <c r="Q48" s="368"/>
    </row>
    <row r="49" s="279" customFormat="1" ht="20.1" customHeight="1" spans="4:17">
      <c r="D49" s="280"/>
      <c r="E49" s="280"/>
      <c r="K49" s="366"/>
      <c r="L49" s="366"/>
      <c r="M49" s="367"/>
      <c r="Q49" s="368"/>
    </row>
    <row r="50" s="279" customFormat="1" ht="20.1" customHeight="1" spans="4:17">
      <c r="D50" s="280"/>
      <c r="E50" s="280"/>
      <c r="K50" s="366"/>
      <c r="L50" s="366"/>
      <c r="M50" s="367"/>
      <c r="Q50" s="368"/>
    </row>
    <row r="51" s="279" customFormat="1" ht="20.1" customHeight="1" spans="4:17">
      <c r="D51" s="280"/>
      <c r="E51" s="280"/>
      <c r="K51" s="366"/>
      <c r="L51" s="366"/>
      <c r="M51" s="367"/>
      <c r="Q51" s="368"/>
    </row>
    <row r="52" s="279" customFormat="1" ht="20.1" customHeight="1" spans="4:17">
      <c r="D52" s="280"/>
      <c r="E52" s="280"/>
      <c r="K52" s="366"/>
      <c r="L52" s="366"/>
      <c r="M52" s="367"/>
      <c r="Q52" s="368"/>
    </row>
    <row r="53" s="279" customFormat="1" ht="20.1" customHeight="1" spans="4:17">
      <c r="D53" s="280"/>
      <c r="E53" s="280"/>
      <c r="K53" s="366"/>
      <c r="L53" s="366"/>
      <c r="M53" s="367"/>
      <c r="Q53" s="368"/>
    </row>
    <row r="54" s="279" customFormat="1" ht="20.1" customHeight="1" spans="4:17">
      <c r="D54" s="280"/>
      <c r="E54" s="280"/>
      <c r="K54" s="366"/>
      <c r="L54" s="366"/>
      <c r="M54" s="367"/>
      <c r="Q54" s="368"/>
    </row>
    <row r="55" s="279" customFormat="1" ht="20.1" customHeight="1" spans="4:17">
      <c r="D55" s="280"/>
      <c r="E55" s="280"/>
      <c r="K55" s="366"/>
      <c r="L55" s="366"/>
      <c r="M55" s="367"/>
      <c r="Q55" s="368"/>
    </row>
    <row r="56" s="279" customFormat="1" ht="20.1" customHeight="1" spans="4:17">
      <c r="D56" s="280"/>
      <c r="E56" s="280"/>
      <c r="K56" s="366"/>
      <c r="L56" s="366"/>
      <c r="M56" s="367"/>
      <c r="Q56" s="368"/>
    </row>
    <row r="57" s="279" customFormat="1" ht="20.1" customHeight="1" spans="4:17">
      <c r="D57" s="280"/>
      <c r="E57" s="280"/>
      <c r="K57" s="366"/>
      <c r="L57" s="366"/>
      <c r="M57" s="367"/>
      <c r="Q57" s="368"/>
    </row>
    <row r="58" s="279" customFormat="1" ht="20.1" customHeight="1" spans="4:17">
      <c r="D58" s="280"/>
      <c r="E58" s="280"/>
      <c r="K58" s="366"/>
      <c r="L58" s="366"/>
      <c r="M58" s="367"/>
      <c r="Q58" s="368"/>
    </row>
    <row r="59" s="279" customFormat="1" ht="20.1" customHeight="1" spans="4:17">
      <c r="D59" s="280"/>
      <c r="E59" s="280"/>
      <c r="K59" s="366"/>
      <c r="L59" s="366"/>
      <c r="M59" s="367"/>
      <c r="Q59" s="368"/>
    </row>
    <row r="60" s="279" customFormat="1" ht="20.1" customHeight="1" spans="4:17">
      <c r="D60" s="280"/>
      <c r="E60" s="280"/>
      <c r="K60" s="366"/>
      <c r="L60" s="366"/>
      <c r="M60" s="367"/>
      <c r="Q60" s="368"/>
    </row>
    <row r="61" s="279" customFormat="1" ht="20.1" customHeight="1" spans="4:17">
      <c r="D61" s="280"/>
      <c r="E61" s="280"/>
      <c r="K61" s="366"/>
      <c r="L61" s="366"/>
      <c r="M61" s="367"/>
      <c r="Q61" s="368"/>
    </row>
    <row r="62" s="279" customFormat="1" ht="20.1" customHeight="1" spans="4:17">
      <c r="D62" s="280"/>
      <c r="E62" s="280"/>
      <c r="K62" s="366"/>
      <c r="L62" s="366"/>
      <c r="M62" s="367"/>
      <c r="Q62" s="368"/>
    </row>
    <row r="63" s="279" customFormat="1" ht="20.1" customHeight="1" spans="4:17">
      <c r="D63" s="280"/>
      <c r="E63" s="280"/>
      <c r="K63" s="366"/>
      <c r="L63" s="366"/>
      <c r="M63" s="367"/>
      <c r="Q63" s="368"/>
    </row>
    <row r="64" s="279" customFormat="1" ht="20.1" customHeight="1" spans="4:17">
      <c r="D64" s="280"/>
      <c r="E64" s="280"/>
      <c r="K64" s="366"/>
      <c r="L64" s="366"/>
      <c r="M64" s="367"/>
      <c r="Q64" s="368"/>
    </row>
    <row r="65" s="279" customFormat="1" ht="20.1" customHeight="1" spans="4:17">
      <c r="D65" s="280"/>
      <c r="E65" s="280"/>
      <c r="K65" s="366"/>
      <c r="L65" s="366"/>
      <c r="M65" s="367"/>
      <c r="Q65" s="368"/>
    </row>
    <row r="66" s="279" customFormat="1" ht="20.1" customHeight="1" spans="4:17">
      <c r="D66" s="280"/>
      <c r="E66" s="280"/>
      <c r="K66" s="366"/>
      <c r="L66" s="366"/>
      <c r="M66" s="367"/>
      <c r="Q66" s="368"/>
    </row>
    <row r="67" s="279" customFormat="1" ht="20.1" customHeight="1" spans="4:17">
      <c r="D67" s="280"/>
      <c r="E67" s="280"/>
      <c r="K67" s="366"/>
      <c r="L67" s="366"/>
      <c r="M67" s="367"/>
      <c r="Q67" s="368"/>
    </row>
    <row r="68" s="279" customFormat="1" ht="20.1" customHeight="1" spans="4:17">
      <c r="D68" s="280"/>
      <c r="E68" s="280"/>
      <c r="K68" s="366"/>
      <c r="L68" s="366"/>
      <c r="M68" s="367"/>
      <c r="Q68" s="368"/>
    </row>
    <row r="69" s="279" customFormat="1" ht="20.1" customHeight="1" spans="4:17">
      <c r="D69" s="280"/>
      <c r="E69" s="280"/>
      <c r="K69" s="366"/>
      <c r="L69" s="366"/>
      <c r="M69" s="367"/>
      <c r="Q69" s="368"/>
    </row>
    <row r="70" s="279" customFormat="1" ht="20.1" customHeight="1" spans="4:17">
      <c r="D70" s="280"/>
      <c r="E70" s="280"/>
      <c r="K70" s="366"/>
      <c r="L70" s="366"/>
      <c r="M70" s="367"/>
      <c r="Q70" s="368"/>
    </row>
    <row r="71" s="279" customFormat="1" ht="20.1" customHeight="1" spans="4:17">
      <c r="D71" s="280"/>
      <c r="E71" s="280"/>
      <c r="K71" s="366"/>
      <c r="L71" s="366"/>
      <c r="M71" s="367"/>
      <c r="Q71" s="368"/>
    </row>
    <row r="72" s="279" customFormat="1" ht="20.1" customHeight="1" spans="4:17">
      <c r="D72" s="280"/>
      <c r="E72" s="280"/>
      <c r="K72" s="366"/>
      <c r="L72" s="366"/>
      <c r="M72" s="367"/>
      <c r="Q72" s="368"/>
    </row>
    <row r="73" s="279" customFormat="1" ht="20.1" customHeight="1" spans="4:17">
      <c r="D73" s="280"/>
      <c r="E73" s="280"/>
      <c r="K73" s="366"/>
      <c r="L73" s="366"/>
      <c r="M73" s="367"/>
      <c r="Q73" s="368"/>
    </row>
    <row r="74" s="279" customFormat="1" ht="20.1" customHeight="1" spans="4:17">
      <c r="D74" s="280"/>
      <c r="E74" s="280"/>
      <c r="K74" s="366"/>
      <c r="L74" s="366"/>
      <c r="M74" s="367"/>
      <c r="Q74" s="368"/>
    </row>
    <row r="75" s="279" customFormat="1" ht="20.1" customHeight="1" spans="4:17">
      <c r="D75" s="280"/>
      <c r="E75" s="280"/>
      <c r="K75" s="366"/>
      <c r="L75" s="366"/>
      <c r="M75" s="367"/>
      <c r="Q75" s="368"/>
    </row>
    <row r="76" s="279" customFormat="1" ht="20.1" customHeight="1" spans="4:17">
      <c r="D76" s="280"/>
      <c r="E76" s="280"/>
      <c r="K76" s="366"/>
      <c r="L76" s="366"/>
      <c r="M76" s="367"/>
      <c r="Q76" s="368"/>
    </row>
    <row r="77" s="279" customFormat="1" ht="20.1" customHeight="1" spans="4:17">
      <c r="D77" s="280"/>
      <c r="E77" s="280"/>
      <c r="K77" s="366"/>
      <c r="L77" s="366"/>
      <c r="M77" s="367"/>
      <c r="Q77" s="368"/>
    </row>
    <row r="78" s="279" customFormat="1" ht="20.1" customHeight="1" spans="4:17">
      <c r="D78" s="280"/>
      <c r="E78" s="280"/>
      <c r="K78" s="366"/>
      <c r="L78" s="366"/>
      <c r="M78" s="367"/>
      <c r="Q78" s="368"/>
    </row>
    <row r="79" s="279" customFormat="1" ht="20.1" customHeight="1" spans="4:17">
      <c r="D79" s="280"/>
      <c r="E79" s="280"/>
      <c r="K79" s="366"/>
      <c r="L79" s="366"/>
      <c r="M79" s="367"/>
      <c r="Q79" s="368"/>
    </row>
    <row r="80" s="279" customFormat="1" ht="20.1" customHeight="1" spans="4:17">
      <c r="D80" s="280"/>
      <c r="E80" s="280"/>
      <c r="K80" s="366"/>
      <c r="L80" s="366"/>
      <c r="M80" s="367"/>
      <c r="Q80" s="368"/>
    </row>
    <row r="81" s="279" customFormat="1" ht="20.1" customHeight="1" spans="4:17">
      <c r="D81" s="280"/>
      <c r="E81" s="280"/>
      <c r="K81" s="366"/>
      <c r="L81" s="366"/>
      <c r="M81" s="367"/>
      <c r="Q81" s="368"/>
    </row>
    <row r="82" s="279" customFormat="1" ht="20.1" customHeight="1" spans="4:17">
      <c r="D82" s="280"/>
      <c r="E82" s="280"/>
      <c r="K82" s="366"/>
      <c r="L82" s="366"/>
      <c r="M82" s="367"/>
      <c r="Q82" s="368"/>
    </row>
    <row r="83" s="279" customFormat="1" ht="20.1" customHeight="1" spans="4:17">
      <c r="D83" s="280"/>
      <c r="E83" s="280"/>
      <c r="K83" s="366"/>
      <c r="L83" s="366"/>
      <c r="M83" s="367"/>
      <c r="Q83" s="368"/>
    </row>
    <row r="84" s="279" customFormat="1" ht="20.1" customHeight="1" spans="4:17">
      <c r="D84" s="280"/>
      <c r="E84" s="280"/>
      <c r="K84" s="366"/>
      <c r="L84" s="366"/>
      <c r="M84" s="367"/>
      <c r="Q84" s="368"/>
    </row>
    <row r="85" s="279" customFormat="1" ht="20.1" customHeight="1" spans="4:17">
      <c r="D85" s="280"/>
      <c r="E85" s="280"/>
      <c r="K85" s="366"/>
      <c r="L85" s="366"/>
      <c r="M85" s="367"/>
      <c r="Q85" s="368"/>
    </row>
    <row r="86" s="279" customFormat="1" ht="20.1" customHeight="1" spans="4:17">
      <c r="D86" s="280"/>
      <c r="E86" s="280"/>
      <c r="K86" s="366"/>
      <c r="L86" s="366"/>
      <c r="M86" s="367"/>
      <c r="Q86" s="368"/>
    </row>
    <row r="87" s="279" customFormat="1" ht="20.1" customHeight="1" spans="4:17">
      <c r="D87" s="280"/>
      <c r="E87" s="280"/>
      <c r="K87" s="366"/>
      <c r="L87" s="366"/>
      <c r="M87" s="367"/>
      <c r="Q87" s="368"/>
    </row>
    <row r="88" s="279" customFormat="1" ht="20.1" customHeight="1" spans="4:17">
      <c r="D88" s="280"/>
      <c r="E88" s="280"/>
      <c r="K88" s="366"/>
      <c r="L88" s="366"/>
      <c r="M88" s="367"/>
      <c r="Q88" s="368"/>
    </row>
    <row r="89" s="279" customFormat="1" ht="20.1" customHeight="1" spans="4:17">
      <c r="D89" s="280"/>
      <c r="E89" s="280"/>
      <c r="K89" s="366"/>
      <c r="L89" s="366"/>
      <c r="M89" s="367"/>
      <c r="Q89" s="368"/>
    </row>
    <row r="90" s="279" customFormat="1" ht="20.1" customHeight="1" spans="4:17">
      <c r="D90" s="280"/>
      <c r="E90" s="280"/>
      <c r="K90" s="366"/>
      <c r="L90" s="366"/>
      <c r="M90" s="367"/>
      <c r="Q90" s="368"/>
    </row>
    <row r="91" s="279" customFormat="1" ht="20.1" customHeight="1" spans="4:17">
      <c r="D91" s="280"/>
      <c r="E91" s="280"/>
      <c r="K91" s="366"/>
      <c r="L91" s="366"/>
      <c r="M91" s="367"/>
      <c r="Q91" s="368"/>
    </row>
    <row r="92" s="279" customFormat="1" ht="20.1" customHeight="1" spans="4:17">
      <c r="D92" s="280"/>
      <c r="E92" s="280"/>
      <c r="K92" s="366"/>
      <c r="L92" s="366"/>
      <c r="M92" s="367"/>
      <c r="Q92" s="368"/>
    </row>
    <row r="93" s="279" customFormat="1" ht="20.1" customHeight="1" spans="4:17">
      <c r="D93" s="280"/>
      <c r="E93" s="280"/>
      <c r="K93" s="366"/>
      <c r="L93" s="366"/>
      <c r="M93" s="367"/>
      <c r="Q93" s="368"/>
    </row>
    <row r="94" s="279" customFormat="1" ht="20.1" customHeight="1" spans="4:17">
      <c r="D94" s="280"/>
      <c r="E94" s="280"/>
      <c r="K94" s="366"/>
      <c r="L94" s="366"/>
      <c r="M94" s="367"/>
      <c r="Q94" s="368"/>
    </row>
    <row r="95" s="279" customFormat="1" ht="20.1" customHeight="1" spans="4:17">
      <c r="D95" s="280"/>
      <c r="E95" s="280"/>
      <c r="K95" s="366"/>
      <c r="L95" s="366"/>
      <c r="M95" s="367"/>
      <c r="Q95" s="368"/>
    </row>
    <row r="96" s="279" customFormat="1" ht="20.1" customHeight="1" spans="4:17">
      <c r="D96" s="280"/>
      <c r="E96" s="280"/>
      <c r="G96" s="278"/>
      <c r="H96" s="278"/>
      <c r="I96" s="278"/>
      <c r="J96" s="278"/>
      <c r="K96" s="281"/>
      <c r="L96" s="281"/>
      <c r="M96" s="367"/>
      <c r="Q96" s="368"/>
    </row>
  </sheetData>
  <protectedRanges>
    <protectedRange sqref="H3 J3 L3 L19 H16:L18" name="区域1_4"/>
    <protectedRange sqref="H27:J27 L28" name="区域1_5"/>
    <protectedRange sqref="G16:G18 G22" name="区域1_4_1_2"/>
    <protectedRange sqref="R27" name="区域1_5_1_1"/>
    <protectedRange sqref="K5:L15 H5:J11 G12:J15 H4:L4" name="区域1_4_2"/>
    <protectedRange sqref="K22:K27 G24:G26" name="区域1_4_1"/>
    <protectedRange sqref="L22:L27 I22:J23 H24:J26" name="区域1_5_2"/>
    <protectedRange sqref="H22:H23" name="区域1_4_1_1"/>
    <protectedRange sqref="G23" name="区域1_4_1_3"/>
  </protectedRanges>
  <autoFilter xmlns:etc="http://www.wps.cn/officeDocument/2017/etCustomData" ref="A3:Q29" etc:filterBottomFollowUsedRange="0">
    <extLst/>
  </autoFilter>
  <mergeCells count="10">
    <mergeCell ref="A2:C2"/>
    <mergeCell ref="D2:F2"/>
    <mergeCell ref="G2:H2"/>
    <mergeCell ref="I2:J2"/>
    <mergeCell ref="K2:L2"/>
    <mergeCell ref="H20:I20"/>
    <mergeCell ref="M2:M3"/>
    <mergeCell ref="N2:N3"/>
    <mergeCell ref="O2:O3"/>
    <mergeCell ref="P2:P3"/>
  </mergeCells>
  <conditionalFormatting sqref="Q2">
    <cfRule type="duplicateValues" dxfId="0" priority="2"/>
  </conditionalFormatting>
  <conditionalFormatting sqref="R2">
    <cfRule type="duplicateValues" dxfId="0" priority="1"/>
  </conditionalFormatting>
  <dataValidations count="3">
    <dataValidation type="list" allowBlank="1" showInputMessage="1" showErrorMessage="1" sqref="C13 C22:C23">
      <formula1>专用设备大类</formula1>
    </dataValidation>
    <dataValidation type="list" allowBlank="1" showInputMessage="1" showErrorMessage="1" sqref="C28 C16:C19">
      <formula1>OFFSET([11]资源数据源!#REF!,MATCH(#REF!,[11]资源数据源!#REF!,0)-1,0,COUNTIF([11]资源数据源!#REF!,#REF!),1)</formula1>
    </dataValidation>
    <dataValidation type="list" allowBlank="1" showInputMessage="1" showErrorMessage="1" sqref="C4:C12">
      <formula1>公用设备大类</formula1>
    </dataValidation>
  </dataValidations>
  <pageMargins left="0.708661417322835" right="0.708661417322835" top="0.748031496062992" bottom="0.748031496062992" header="0.31496062992126" footer="0.31496062992126"/>
  <pageSetup paperSize="9" scale="45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P94"/>
  <sheetViews>
    <sheetView showGridLines="0" zoomScale="80" zoomScaleNormal="80" workbookViewId="0">
      <selection activeCell="E12" sqref="E12"/>
    </sheetView>
  </sheetViews>
  <sheetFormatPr defaultColWidth="8.88888888888889" defaultRowHeight="15.6"/>
  <cols>
    <col min="1" max="1" width="17.3333333333333" style="241" customWidth="1"/>
    <col min="2" max="2" width="11.8888888888889" style="241" customWidth="1"/>
    <col min="3" max="3" width="16.4444444444444" style="241" customWidth="1"/>
    <col min="4" max="4" width="21" style="241" customWidth="1"/>
    <col min="5" max="5" width="16.4444444444444" style="241" customWidth="1"/>
    <col min="6" max="6" width="7.77777777777778" style="241" customWidth="1"/>
    <col min="7" max="7" width="9.11111111111111" style="241" customWidth="1"/>
    <col min="8" max="8" width="10.7777777777778" style="241" customWidth="1"/>
    <col min="9" max="9" width="5.66666666666667" style="242" customWidth="1"/>
    <col min="10" max="10" width="4.55555555555556" style="242" customWidth="1"/>
    <col min="11" max="11" width="9.44444444444444" style="241" customWidth="1"/>
    <col min="12" max="12" width="16.5555555555556" style="242" customWidth="1"/>
    <col min="13" max="13" width="10.3333333333333" style="242" customWidth="1"/>
    <col min="14" max="14" width="12.8888888888889" style="242" customWidth="1"/>
    <col min="15" max="16" width="13.8888888888889" style="242" customWidth="1"/>
    <col min="17" max="16384" width="8.88888888888889" style="242"/>
  </cols>
  <sheetData>
    <row r="1" s="240" customFormat="1" ht="21" customHeight="1" spans="1:16">
      <c r="A1" s="197" t="str">
        <f>'项目评估汇总（昆山90%）'!A1</f>
        <v>吉利P162大电池包高压</v>
      </c>
      <c r="B1" s="243"/>
      <c r="C1" s="243"/>
      <c r="D1" s="243"/>
      <c r="E1" s="243"/>
      <c r="F1" s="243"/>
      <c r="G1" s="243"/>
      <c r="H1" s="243"/>
      <c r="K1" s="243"/>
      <c r="O1" s="244">
        <v>1</v>
      </c>
      <c r="P1" s="244">
        <v>2</v>
      </c>
    </row>
    <row r="2" ht="31.5" customHeight="1" spans="1:16">
      <c r="A2" s="245" t="s">
        <v>226</v>
      </c>
      <c r="B2" s="245"/>
      <c r="C2" s="245"/>
      <c r="D2" s="245"/>
      <c r="E2" s="245"/>
      <c r="F2" s="246"/>
      <c r="G2" s="169" t="s">
        <v>227</v>
      </c>
      <c r="H2" s="169"/>
      <c r="I2" s="169" t="s">
        <v>228</v>
      </c>
      <c r="J2" s="169"/>
      <c r="K2" s="169" t="s">
        <v>229</v>
      </c>
      <c r="L2" s="169"/>
      <c r="M2" s="205" t="s">
        <v>230</v>
      </c>
      <c r="N2" s="205" t="s">
        <v>231</v>
      </c>
      <c r="O2" s="247" cm="1">
        <f t="array" ref="O2:P2">TRANSPOSE(配置明细!$B$3:$B$4)</f>
        <v>6608523073</v>
      </c>
      <c r="P2" s="247">
        <v>6608523072</v>
      </c>
    </row>
    <row r="3" ht="20.25" customHeight="1" spans="1:16">
      <c r="A3" s="248" t="s">
        <v>164</v>
      </c>
      <c r="B3" s="171" t="s">
        <v>165</v>
      </c>
      <c r="C3" s="141" t="s">
        <v>166</v>
      </c>
      <c r="D3" s="141" t="s">
        <v>232</v>
      </c>
      <c r="E3" s="141" t="s">
        <v>233</v>
      </c>
      <c r="F3" s="209" t="s">
        <v>169</v>
      </c>
      <c r="G3" s="173" t="s">
        <v>234</v>
      </c>
      <c r="H3" s="173" t="s">
        <v>235</v>
      </c>
      <c r="I3" s="173" t="s">
        <v>236</v>
      </c>
      <c r="J3" s="173" t="s">
        <v>237</v>
      </c>
      <c r="K3" s="173" t="s">
        <v>238</v>
      </c>
      <c r="L3" s="173" t="s">
        <v>239</v>
      </c>
      <c r="M3" s="249" t="s">
        <v>240</v>
      </c>
      <c r="N3" s="211"/>
      <c r="O3" s="250" t="str" cm="1">
        <f t="array" ref="O3:P3">TRANSPOSE(配置明细!D3:D4)</f>
        <v>组合式充电插座线束总成</v>
      </c>
      <c r="P3" s="250" t="str">
        <v>充电线束总成</v>
      </c>
    </row>
    <row r="4" ht="18.75" customHeight="1" spans="1:16">
      <c r="A4" s="251" t="s">
        <v>241</v>
      </c>
      <c r="B4" s="252" t="s">
        <v>242</v>
      </c>
      <c r="C4" s="252" t="s">
        <v>243</v>
      </c>
      <c r="D4" s="252" t="s">
        <v>244</v>
      </c>
      <c r="E4" s="253" t="s">
        <v>245</v>
      </c>
      <c r="F4" s="254" t="s">
        <v>214</v>
      </c>
      <c r="G4" s="255">
        <f>SUM(O4:P4)</f>
        <v>5</v>
      </c>
      <c r="H4" s="256"/>
      <c r="I4" s="219"/>
      <c r="J4" s="257"/>
      <c r="K4" s="219">
        <f>G4-I4</f>
        <v>5</v>
      </c>
      <c r="L4" s="257">
        <f>K4*N4</f>
        <v>900000</v>
      </c>
      <c r="M4" s="258"/>
      <c r="N4" s="259">
        <v>180000</v>
      </c>
      <c r="O4" s="260">
        <v>3</v>
      </c>
      <c r="P4" s="260">
        <v>2</v>
      </c>
    </row>
    <row r="5" ht="18.75" customHeight="1" spans="1:16">
      <c r="A5" s="251" t="s">
        <v>241</v>
      </c>
      <c r="B5" s="252" t="s">
        <v>242</v>
      </c>
      <c r="C5" s="252" t="s">
        <v>243</v>
      </c>
      <c r="D5" s="252" t="s">
        <v>246</v>
      </c>
      <c r="E5" s="253"/>
      <c r="F5" s="254" t="s">
        <v>214</v>
      </c>
      <c r="G5" s="255">
        <f>SUM(O5:P5)</f>
        <v>3.71</v>
      </c>
      <c r="H5" s="257"/>
      <c r="I5" s="261"/>
      <c r="J5" s="257"/>
      <c r="K5" s="219">
        <f>G5-I5</f>
        <v>3.71</v>
      </c>
      <c r="L5" s="257">
        <f>K5*N5</f>
        <v>14840</v>
      </c>
      <c r="M5" s="258"/>
      <c r="N5" s="259">
        <v>4000</v>
      </c>
      <c r="O5" s="262">
        <v>3.71</v>
      </c>
      <c r="P5" s="260">
        <v>0</v>
      </c>
    </row>
    <row r="6" ht="18.75" customHeight="1" spans="1:16">
      <c r="A6" s="251" t="s">
        <v>241</v>
      </c>
      <c r="B6" s="252" t="s">
        <v>242</v>
      </c>
      <c r="C6" s="252" t="s">
        <v>243</v>
      </c>
      <c r="D6" s="252" t="s">
        <v>247</v>
      </c>
      <c r="E6" s="253"/>
      <c r="F6" s="254" t="s">
        <v>214</v>
      </c>
      <c r="G6" s="255">
        <f>SUM(O6:P6)</f>
        <v>2.41</v>
      </c>
      <c r="H6" s="257"/>
      <c r="I6" s="261"/>
      <c r="J6" s="257"/>
      <c r="K6" s="219">
        <f>G6-I6</f>
        <v>2.41</v>
      </c>
      <c r="L6" s="257">
        <f>K6*N6</f>
        <v>67480</v>
      </c>
      <c r="M6" s="258"/>
      <c r="N6" s="259">
        <v>28000</v>
      </c>
      <c r="O6" s="263">
        <v>2.41</v>
      </c>
      <c r="P6" s="264">
        <v>0</v>
      </c>
    </row>
    <row r="7" ht="18.75" customHeight="1" spans="1:16">
      <c r="A7" s="251" t="s">
        <v>241</v>
      </c>
      <c r="B7" s="252" t="s">
        <v>242</v>
      </c>
      <c r="C7" s="252" t="s">
        <v>243</v>
      </c>
      <c r="D7" s="252" t="s">
        <v>248</v>
      </c>
      <c r="E7" s="253"/>
      <c r="F7" s="254" t="s">
        <v>214</v>
      </c>
      <c r="G7" s="255">
        <f>SUM(O7:P7)</f>
        <v>2</v>
      </c>
      <c r="H7" s="265"/>
      <c r="I7" s="265"/>
      <c r="J7" s="265"/>
      <c r="K7" s="219">
        <f>G7-I7</f>
        <v>2</v>
      </c>
      <c r="L7" s="257">
        <f>K7*N7</f>
        <v>18000</v>
      </c>
      <c r="M7" s="266"/>
      <c r="N7" s="259">
        <v>9000</v>
      </c>
      <c r="O7" s="263">
        <v>0</v>
      </c>
      <c r="P7" s="260">
        <v>2</v>
      </c>
    </row>
    <row r="8" ht="18.75" customHeight="1" spans="1:16">
      <c r="A8" s="251"/>
      <c r="B8" s="252"/>
      <c r="C8" s="252"/>
      <c r="D8" s="252"/>
      <c r="E8" s="253"/>
      <c r="F8" s="254"/>
      <c r="G8" s="220"/>
      <c r="H8" s="265"/>
      <c r="I8" s="265"/>
      <c r="J8" s="265"/>
      <c r="K8" s="219">
        <f>G8-I8</f>
        <v>0</v>
      </c>
      <c r="L8" s="265"/>
      <c r="M8" s="266"/>
      <c r="N8" s="259"/>
      <c r="O8" s="263"/>
      <c r="P8" s="260"/>
    </row>
    <row r="9" ht="18.75" customHeight="1" spans="1:16">
      <c r="A9" s="251"/>
      <c r="B9" s="252"/>
      <c r="C9" s="252"/>
      <c r="D9" s="252"/>
      <c r="E9" s="253"/>
      <c r="F9" s="254"/>
      <c r="G9" s="220"/>
      <c r="H9" s="265"/>
      <c r="I9" s="265"/>
      <c r="J9" s="265"/>
      <c r="K9" s="219"/>
      <c r="L9" s="265"/>
      <c r="M9" s="266"/>
      <c r="N9" s="259"/>
      <c r="O9" s="263"/>
      <c r="P9" s="260"/>
    </row>
    <row r="10" ht="18.75" customHeight="1" spans="1:16">
      <c r="A10" s="267"/>
      <c r="B10" s="267"/>
      <c r="C10" s="267"/>
      <c r="D10" s="267"/>
      <c r="E10" s="267"/>
      <c r="F10" s="268"/>
      <c r="G10" s="269"/>
      <c r="H10" s="270"/>
      <c r="I10" s="269"/>
      <c r="J10" s="270"/>
      <c r="K10" s="269"/>
      <c r="L10" s="270">
        <f>SUM(L4:L9)</f>
        <v>1000320</v>
      </c>
      <c r="M10" s="269"/>
      <c r="N10" s="271"/>
      <c r="O10" s="235" cm="1">
        <f t="array" ref="O10">SUMPRODUCT(O4:O9,$N$4:$N$9)/O14</f>
        <v>3.09611940298507</v>
      </c>
      <c r="P10" s="235" cm="1">
        <f t="array" ref="P10">SUMPRODUCT(P4:P9,$N$4:$N$9)/P14</f>
        <v>1.88059701492537</v>
      </c>
    </row>
    <row r="11" ht="18.75" customHeight="1" spans="1:16">
      <c r="A11" s="272"/>
      <c r="B11" s="272"/>
      <c r="C11" s="272"/>
      <c r="D11" s="272"/>
      <c r="E11" s="272"/>
      <c r="F11" s="272"/>
      <c r="G11" s="272"/>
      <c r="H11" s="272"/>
      <c r="I11" s="273"/>
      <c r="J11" s="273"/>
      <c r="K11" s="274" t="s">
        <v>208</v>
      </c>
      <c r="L11" s="273">
        <f>L10/'项目评估汇总（昆山90%）'!E5</f>
        <v>4.97671641791045</v>
      </c>
      <c r="M11" s="190"/>
    </row>
    <row r="12" ht="24.9" customHeight="1" spans="1:16">
      <c r="L12" s="242" t="s">
        <v>249</v>
      </c>
      <c r="N12" s="275" t="str">
        <f>设备投资明细!N31</f>
        <v>装车比</v>
      </c>
      <c r="O12" s="275">
        <f>'项目评估汇总（昆山90%）'!P35</f>
        <v>1</v>
      </c>
      <c r="P12" s="275">
        <f>设备投资明细!R31</f>
        <v>1</v>
      </c>
    </row>
    <row r="13" ht="24.9" customHeight="1" spans="1:16">
      <c r="M13" s="276"/>
      <c r="N13" s="275" t="str">
        <f>设备投资明细!N32</f>
        <v>总量纲</v>
      </c>
      <c r="O13" s="275">
        <f>'项目评估汇总（昆山90%）'!P36</f>
        <v>201000</v>
      </c>
      <c r="P13" s="275">
        <f>设备投资明细!R32</f>
        <v>201000</v>
      </c>
    </row>
    <row r="14" s="241" customFormat="1" ht="20.1" customHeight="1" spans="1:16">
      <c r="N14" s="275" t="str">
        <f>设备投资明细!N33</f>
        <v>数量</v>
      </c>
      <c r="O14" s="275">
        <f>O12*O13</f>
        <v>201000</v>
      </c>
      <c r="P14" s="275">
        <f>P12*P13</f>
        <v>201000</v>
      </c>
    </row>
    <row r="15" s="241" customFormat="1" ht="20.1" customHeight="1"/>
    <row r="16" s="241" customFormat="1" ht="20.1" customHeight="1" spans="1:16">
      <c r="M16" s="241" cm="1">
        <f t="array" ref="M16">SUMPRODUCT(O10:P10,O12:P12)</f>
        <v>4.97671641791045</v>
      </c>
    </row>
    <row r="17" s="241" customFormat="1" ht="20.1" customHeight="1" spans="1:1">
      <c r="A17" s="241" t="s">
        <v>250</v>
      </c>
    </row>
    <row r="18" s="241" customFormat="1" ht="20.1" customHeight="1"/>
    <row r="19" s="241" customFormat="1" ht="20.1" customHeight="1"/>
    <row r="20" s="241" customFormat="1" ht="20.1" customHeight="1"/>
    <row r="21" s="241" customFormat="1" ht="20.1" customHeight="1"/>
    <row r="22" s="241" customFormat="1" ht="20.1" customHeight="1"/>
    <row r="23" s="241" customFormat="1" ht="20.1" customHeight="1"/>
    <row r="24" s="241" customFormat="1" ht="20.1" customHeight="1"/>
    <row r="25" s="241" customFormat="1" ht="20.1" customHeight="1"/>
    <row r="26" s="241" customFormat="1" ht="20.1" customHeight="1"/>
    <row r="27" s="241" customFormat="1" ht="20.1" customHeight="1"/>
    <row r="28" s="241" customFormat="1" ht="20.1" customHeight="1"/>
    <row r="29" s="241" customFormat="1" ht="20.1" customHeight="1"/>
    <row r="30" s="241" customFormat="1" ht="20.1" customHeight="1"/>
    <row r="31" s="241" customFormat="1" ht="20.1" customHeight="1"/>
    <row r="32" s="241" customFormat="1" ht="20.1" customHeight="1"/>
    <row r="33" s="241" customFormat="1" ht="20.1" customHeight="1"/>
    <row r="34" s="241" customFormat="1" ht="20.1" customHeight="1"/>
    <row r="35" s="241" customFormat="1" ht="20.1" customHeight="1"/>
    <row r="36" s="241" customFormat="1" ht="20.1" customHeight="1"/>
    <row r="37" s="241" customFormat="1" ht="20.1" customHeight="1"/>
    <row r="38" s="241" customFormat="1" ht="20.1" customHeight="1"/>
    <row r="39" s="241" customFormat="1" ht="20.1" customHeight="1"/>
    <row r="40" s="241" customFormat="1" ht="20.1" customHeight="1"/>
    <row r="41" s="241" customFormat="1" ht="20.1" customHeight="1"/>
    <row r="42" s="241" customFormat="1" ht="20.1" customHeight="1"/>
    <row r="43" s="241" customFormat="1" ht="20.1" customHeight="1"/>
    <row r="44" s="241" customFormat="1" ht="20.1" customHeight="1"/>
    <row r="45" s="241" customFormat="1" ht="20.1" customHeight="1"/>
    <row r="46" s="241" customFormat="1" ht="20.1" customHeight="1"/>
    <row r="47" s="241" customFormat="1" ht="20.1" customHeight="1"/>
    <row r="48" s="241" customFormat="1" ht="20.1" customHeight="1"/>
    <row r="49" s="241" customFormat="1" ht="20.1" customHeight="1"/>
    <row r="50" s="241" customFormat="1" ht="20.1" customHeight="1"/>
    <row r="51" s="241" customFormat="1" ht="20.1" customHeight="1"/>
    <row r="52" s="241" customFormat="1" ht="20.1" customHeight="1"/>
    <row r="53" s="241" customFormat="1" ht="20.1" customHeight="1"/>
    <row r="54" s="241" customFormat="1" ht="20.1" customHeight="1"/>
    <row r="55" s="241" customFormat="1" ht="20.1" customHeight="1"/>
    <row r="56" s="241" customFormat="1" ht="20.1" customHeight="1"/>
    <row r="57" s="241" customFormat="1" ht="20.1" customHeight="1"/>
    <row r="58" s="241" customFormat="1" ht="20.1" customHeight="1"/>
    <row r="59" s="241" customFormat="1" ht="20.1" customHeight="1"/>
    <row r="60" s="241" customFormat="1" ht="20.1" customHeight="1"/>
    <row r="61" s="241" customFormat="1" ht="20.1" customHeight="1"/>
    <row r="62" s="241" customFormat="1" ht="20.1" customHeight="1"/>
    <row r="63" s="241" customFormat="1" ht="20.1" customHeight="1"/>
    <row r="64" s="241" customFormat="1" ht="20.1" customHeight="1"/>
    <row r="65" s="241" customFormat="1" ht="20.1" customHeight="1"/>
    <row r="66" s="241" customFormat="1" ht="20.1" customHeight="1"/>
    <row r="67" s="241" customFormat="1" ht="20.1" customHeight="1"/>
    <row r="68" s="241" customFormat="1" ht="20.1" customHeight="1"/>
    <row r="69" s="241" customFormat="1" ht="20.1" customHeight="1"/>
    <row r="70" s="241" customFormat="1" ht="20.1" customHeight="1"/>
    <row r="71" s="241" customFormat="1" ht="20.1" customHeight="1"/>
    <row r="72" s="241" customFormat="1" ht="20.1" customHeight="1"/>
    <row r="73" s="241" customFormat="1" ht="20.1" customHeight="1"/>
    <row r="74" s="241" customFormat="1" ht="20.1" customHeight="1"/>
    <row r="75" s="241" customFormat="1" ht="20.1" customHeight="1"/>
    <row r="76" s="241" customFormat="1" ht="20.1" customHeight="1"/>
    <row r="77" s="241" customFormat="1" ht="20.1" customHeight="1"/>
    <row r="78" s="241" customFormat="1" ht="20.1" customHeight="1"/>
    <row r="79" s="241" customFormat="1" ht="20.1" customHeight="1"/>
    <row r="80" s="241" customFormat="1" ht="20.1" customHeight="1"/>
    <row r="81" s="241" customFormat="1" ht="20.1" customHeight="1"/>
    <row r="82" s="241" customFormat="1" ht="20.1" customHeight="1"/>
    <row r="83" s="241" customFormat="1" ht="20.1" customHeight="1"/>
    <row r="84" s="241" customFormat="1" ht="20.1" customHeight="1"/>
    <row r="85" s="241" customFormat="1" ht="20.1" customHeight="1"/>
    <row r="86" s="241" customFormat="1" ht="20.1" customHeight="1"/>
    <row r="87" s="241" customFormat="1" ht="20.1" customHeight="1"/>
    <row r="88" s="241" customFormat="1" ht="20.1" customHeight="1"/>
    <row r="89" s="241" customFormat="1" ht="20.1" customHeight="1"/>
    <row r="90" s="241" customFormat="1" ht="20.1" customHeight="1"/>
    <row r="91" s="241" customFormat="1" ht="20.1" customHeight="1"/>
    <row r="92" s="241" customFormat="1" ht="20.1" customHeight="1"/>
    <row r="93" s="241" customFormat="1" ht="20.1" customHeight="1"/>
    <row r="94" s="241" customFormat="1" ht="20.1" customHeight="1"/>
  </sheetData>
  <mergeCells count="3">
    <mergeCell ref="G2:H2"/>
    <mergeCell ref="I2:J2"/>
    <mergeCell ref="K2:L2"/>
  </mergeCells>
  <dataValidations count="1">
    <dataValidation type="list" allowBlank="1" showInputMessage="1" showErrorMessage="1" sqref="C4:C9">
      <formula1>专用模具模块大类</formula1>
    </dataValidation>
  </dataValidations>
  <pageMargins left="0.7" right="0.7" top="0.75" bottom="0.75" header="0.3" footer="0.3"/>
  <pageSetup paperSize="9" scale="97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6"/>
  <sheetViews>
    <sheetView showGridLines="0" zoomScale="80" zoomScaleNormal="80" workbookViewId="0">
      <selection activeCell="G20" sqref="G20"/>
    </sheetView>
  </sheetViews>
  <sheetFormatPr defaultColWidth="9" defaultRowHeight="15.6"/>
  <cols>
    <col min="1" max="1" width="15.6666666666667" style="195" customWidth="1"/>
    <col min="2" max="2" width="11.8888888888889" style="195" customWidth="1"/>
    <col min="3" max="3" width="16.6666666666667" style="195" customWidth="1"/>
    <col min="4" max="4" width="36.4444444444444" style="195" customWidth="1"/>
    <col min="5" max="5" width="17.7777777777778" style="195" customWidth="1"/>
    <col min="6" max="6" width="7.44444444444444" style="195" customWidth="1"/>
    <col min="7" max="7" width="7.77777777777778" style="195" customWidth="1"/>
    <col min="8" max="8" width="12.8888888888889" style="195" customWidth="1"/>
    <col min="9" max="10" width="7.44444444444444" style="195" customWidth="1"/>
    <col min="11" max="11" width="8.88888888888889" style="195" customWidth="1"/>
    <col min="12" max="12" width="17.3333333333333" style="195" customWidth="1"/>
    <col min="13" max="13" width="5.11111111111111" style="196" customWidth="1"/>
    <col min="14" max="14" width="11.6666666666667" style="196"/>
    <col min="15" max="16" width="14.4444444444444" style="196" customWidth="1"/>
    <col min="17" max="16384" width="9" style="196"/>
  </cols>
  <sheetData>
    <row r="1" ht="21" customHeight="1" spans="1:16">
      <c r="A1" s="197" t="str">
        <f>'项目评估汇总（昆山90%）'!A1</f>
        <v>吉利P162大电池包高压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O1" s="199">
        <v>1</v>
      </c>
      <c r="P1" s="199">
        <v>2</v>
      </c>
    </row>
    <row r="2" ht="18.75" customHeight="1" spans="1:16">
      <c r="A2" s="200" t="s">
        <v>251</v>
      </c>
      <c r="B2" s="201"/>
      <c r="C2" s="201"/>
      <c r="D2" s="201"/>
      <c r="E2" s="201"/>
      <c r="F2" s="201"/>
      <c r="G2" s="202" t="s">
        <v>252</v>
      </c>
      <c r="H2" s="203"/>
      <c r="I2" s="202" t="s">
        <v>253</v>
      </c>
      <c r="J2" s="203"/>
      <c r="K2" s="202" t="s">
        <v>254</v>
      </c>
      <c r="L2" s="203"/>
      <c r="M2" s="204" t="s">
        <v>230</v>
      </c>
      <c r="N2" s="205" t="s">
        <v>231</v>
      </c>
      <c r="O2" s="206" cm="1">
        <f t="array" ref="O2:P2">TRANSPOSE(配置明细!$B$3:$B$4)</f>
        <v>6608523073</v>
      </c>
      <c r="P2" s="206">
        <v>6608523072</v>
      </c>
    </row>
    <row r="3" ht="28.2" customHeight="1" spans="1:16">
      <c r="A3" s="207" t="s">
        <v>164</v>
      </c>
      <c r="B3" s="208" t="s">
        <v>165</v>
      </c>
      <c r="C3" s="208" t="s">
        <v>166</v>
      </c>
      <c r="D3" s="208" t="s">
        <v>232</v>
      </c>
      <c r="E3" s="208" t="s">
        <v>255</v>
      </c>
      <c r="F3" s="209" t="s">
        <v>169</v>
      </c>
      <c r="G3" s="173" t="s">
        <v>234</v>
      </c>
      <c r="H3" s="173" t="s">
        <v>235</v>
      </c>
      <c r="I3" s="173" t="s">
        <v>236</v>
      </c>
      <c r="J3" s="173" t="s">
        <v>237</v>
      </c>
      <c r="K3" s="173" t="s">
        <v>256</v>
      </c>
      <c r="L3" s="173" t="s">
        <v>257</v>
      </c>
      <c r="M3" s="210"/>
      <c r="N3" s="211"/>
      <c r="O3" s="212" t="str" cm="1">
        <f t="array" ref="O3:P3">TRANSPOSE(配置明细!D3:D4)</f>
        <v>组合式充电插座线束总成</v>
      </c>
      <c r="P3" s="212" t="str">
        <v>充电线束总成</v>
      </c>
    </row>
    <row r="4" ht="18.75" customHeight="1" spans="1:16">
      <c r="A4" s="213" t="s">
        <v>258</v>
      </c>
      <c r="B4" s="214" t="s">
        <v>259</v>
      </c>
      <c r="C4" s="214" t="s">
        <v>260</v>
      </c>
      <c r="D4" s="214" t="s">
        <v>261</v>
      </c>
      <c r="E4" s="215" t="s">
        <v>262</v>
      </c>
      <c r="F4" s="214" t="s">
        <v>176</v>
      </c>
      <c r="G4" s="216">
        <f>SUM(O4:P4)</f>
        <v>2.91</v>
      </c>
      <c r="H4" s="217"/>
      <c r="I4" s="218"/>
      <c r="J4" s="217"/>
      <c r="K4" s="219">
        <f>G4-I4</f>
        <v>2.91</v>
      </c>
      <c r="L4" s="216">
        <f t="shared" ref="L4:L11" si="0">N4*K4</f>
        <v>12222</v>
      </c>
      <c r="M4" s="220"/>
      <c r="N4" s="220">
        <v>4200</v>
      </c>
      <c r="O4" s="221">
        <v>2.07</v>
      </c>
      <c r="P4" s="221">
        <v>0.84</v>
      </c>
    </row>
    <row r="5" ht="18.75" customHeight="1" spans="1:16">
      <c r="A5" s="213" t="s">
        <v>258</v>
      </c>
      <c r="B5" s="214" t="s">
        <v>259</v>
      </c>
      <c r="C5" s="214" t="s">
        <v>263</v>
      </c>
      <c r="D5" s="214" t="s">
        <v>264</v>
      </c>
      <c r="E5" s="215" t="s">
        <v>194</v>
      </c>
      <c r="F5" s="214" t="s">
        <v>214</v>
      </c>
      <c r="G5" s="216">
        <f t="shared" ref="G5:G12" si="1">SUM(O5:P5)</f>
        <v>0</v>
      </c>
      <c r="H5" s="217"/>
      <c r="I5" s="218"/>
      <c r="J5" s="217"/>
      <c r="K5" s="219">
        <f t="shared" ref="K5:K11" si="2">G5-I5</f>
        <v>0</v>
      </c>
      <c r="L5" s="216">
        <f t="shared" si="0"/>
        <v>0</v>
      </c>
      <c r="M5" s="222"/>
      <c r="N5" s="220"/>
      <c r="O5" s="221"/>
      <c r="P5" s="221"/>
    </row>
    <row r="6" ht="18.75" customHeight="1" spans="1:16">
      <c r="A6" s="213" t="s">
        <v>258</v>
      </c>
      <c r="B6" s="214" t="s">
        <v>259</v>
      </c>
      <c r="C6" s="223" t="s">
        <v>263</v>
      </c>
      <c r="D6" s="172" t="s">
        <v>265</v>
      </c>
      <c r="E6" s="215" t="s">
        <v>266</v>
      </c>
      <c r="F6" s="214" t="s">
        <v>214</v>
      </c>
      <c r="G6" s="216">
        <f t="shared" si="1"/>
        <v>0</v>
      </c>
      <c r="H6" s="217"/>
      <c r="I6" s="218"/>
      <c r="J6" s="217"/>
      <c r="K6" s="219">
        <f t="shared" si="2"/>
        <v>0</v>
      </c>
      <c r="L6" s="216">
        <f t="shared" si="0"/>
        <v>0</v>
      </c>
      <c r="M6" s="222"/>
      <c r="N6" s="224"/>
      <c r="O6" s="225"/>
      <c r="P6" s="225"/>
    </row>
    <row r="7" ht="18.75" customHeight="1" spans="1:16">
      <c r="A7" s="226" t="s">
        <v>258</v>
      </c>
      <c r="B7" s="172" t="s">
        <v>259</v>
      </c>
      <c r="C7" s="172" t="s">
        <v>263</v>
      </c>
      <c r="D7" s="172" t="s">
        <v>267</v>
      </c>
      <c r="E7" s="227" t="s">
        <v>194</v>
      </c>
      <c r="F7" s="172" t="s">
        <v>214</v>
      </c>
      <c r="G7" s="216">
        <f t="shared" si="1"/>
        <v>0</v>
      </c>
      <c r="H7" s="228"/>
      <c r="I7" s="149"/>
      <c r="J7" s="173"/>
      <c r="K7" s="219">
        <f t="shared" si="2"/>
        <v>0</v>
      </c>
      <c r="L7" s="216">
        <f t="shared" si="0"/>
        <v>0</v>
      </c>
      <c r="M7" s="224"/>
      <c r="N7" s="224"/>
      <c r="O7" s="229"/>
      <c r="P7" s="229"/>
    </row>
    <row r="8" ht="18.75" customHeight="1" spans="1:16">
      <c r="A8" s="226" t="s">
        <v>258</v>
      </c>
      <c r="B8" s="172" t="s">
        <v>259</v>
      </c>
      <c r="C8" s="172" t="s">
        <v>263</v>
      </c>
      <c r="D8" s="172" t="s">
        <v>268</v>
      </c>
      <c r="E8" s="227" t="s">
        <v>194</v>
      </c>
      <c r="F8" s="172" t="s">
        <v>214</v>
      </c>
      <c r="G8" s="216">
        <f t="shared" si="1"/>
        <v>0.41</v>
      </c>
      <c r="H8" s="228"/>
      <c r="I8" s="149"/>
      <c r="J8" s="173"/>
      <c r="K8" s="219">
        <f t="shared" si="2"/>
        <v>0.41</v>
      </c>
      <c r="L8" s="216">
        <f t="shared" si="0"/>
        <v>16400</v>
      </c>
      <c r="M8" s="224"/>
      <c r="N8" s="224">
        <v>40000</v>
      </c>
      <c r="O8" s="229">
        <v>0.41</v>
      </c>
      <c r="P8" s="229">
        <v>0</v>
      </c>
    </row>
    <row r="9" ht="18.75" customHeight="1" spans="1:16">
      <c r="A9" s="226" t="s">
        <v>258</v>
      </c>
      <c r="B9" s="172" t="s">
        <v>259</v>
      </c>
      <c r="C9" s="172" t="s">
        <v>263</v>
      </c>
      <c r="D9" s="172" t="s">
        <v>269</v>
      </c>
      <c r="E9" s="227" t="s">
        <v>194</v>
      </c>
      <c r="F9" s="172" t="s">
        <v>214</v>
      </c>
      <c r="G9" s="216">
        <f t="shared" si="1"/>
        <v>0</v>
      </c>
      <c r="H9" s="228"/>
      <c r="I9" s="149"/>
      <c r="J9" s="173"/>
      <c r="K9" s="219">
        <f t="shared" si="2"/>
        <v>0</v>
      </c>
      <c r="L9" s="216">
        <f t="shared" si="0"/>
        <v>0</v>
      </c>
      <c r="M9" s="224"/>
      <c r="N9" s="224"/>
      <c r="O9" s="229"/>
      <c r="P9" s="229"/>
    </row>
    <row r="10" ht="18.75" customHeight="1" spans="1:16">
      <c r="A10" s="226" t="s">
        <v>258</v>
      </c>
      <c r="B10" s="172" t="s">
        <v>259</v>
      </c>
      <c r="C10" s="172" t="s">
        <v>270</v>
      </c>
      <c r="D10" s="172" t="s">
        <v>271</v>
      </c>
      <c r="E10" s="227"/>
      <c r="F10" s="172" t="s">
        <v>214</v>
      </c>
      <c r="G10" s="216">
        <f t="shared" si="1"/>
        <v>0</v>
      </c>
      <c r="H10" s="173"/>
      <c r="I10" s="149"/>
      <c r="J10" s="173"/>
      <c r="K10" s="219">
        <f t="shared" si="2"/>
        <v>0</v>
      </c>
      <c r="L10" s="216">
        <f t="shared" si="0"/>
        <v>0</v>
      </c>
      <c r="M10" s="224"/>
      <c r="N10" s="224"/>
      <c r="O10" s="229"/>
      <c r="P10" s="229"/>
    </row>
    <row r="11" ht="18.75" customHeight="1" spans="1:16">
      <c r="A11" s="226" t="s">
        <v>258</v>
      </c>
      <c r="B11" s="172" t="s">
        <v>259</v>
      </c>
      <c r="C11" s="172" t="s">
        <v>263</v>
      </c>
      <c r="D11" s="172" t="s">
        <v>272</v>
      </c>
      <c r="E11" s="227"/>
      <c r="F11" s="172"/>
      <c r="G11" s="216">
        <f t="shared" si="1"/>
        <v>0</v>
      </c>
      <c r="H11" s="173"/>
      <c r="I11" s="149"/>
      <c r="J11" s="173"/>
      <c r="K11" s="219">
        <f t="shared" si="2"/>
        <v>0</v>
      </c>
      <c r="L11" s="216">
        <f t="shared" si="0"/>
        <v>0</v>
      </c>
      <c r="M11" s="210"/>
      <c r="N11" s="224"/>
      <c r="O11" s="229"/>
      <c r="P11" s="229"/>
    </row>
    <row r="12" ht="18.75" customHeight="1" spans="1:16">
      <c r="A12" s="226"/>
      <c r="B12" s="172"/>
      <c r="C12" s="172"/>
      <c r="D12" s="172"/>
      <c r="E12" s="227"/>
      <c r="F12" s="172"/>
      <c r="G12" s="216">
        <f t="shared" si="1"/>
        <v>0</v>
      </c>
      <c r="H12" s="173"/>
      <c r="I12" s="149"/>
      <c r="J12" s="173"/>
      <c r="K12" s="230"/>
      <c r="L12" s="173"/>
      <c r="M12" s="210"/>
      <c r="N12" s="210"/>
      <c r="O12" s="210"/>
      <c r="P12" s="210"/>
    </row>
    <row r="13" ht="18.75" customHeight="1" spans="1:16">
      <c r="A13" s="226"/>
      <c r="B13" s="172"/>
      <c r="C13" s="172"/>
      <c r="D13" s="172"/>
      <c r="E13" s="227"/>
      <c r="F13" s="172"/>
      <c r="G13" s="230"/>
      <c r="H13" s="173"/>
      <c r="I13" s="149"/>
      <c r="J13" s="173"/>
      <c r="K13" s="230"/>
      <c r="L13" s="173"/>
      <c r="M13" s="210"/>
      <c r="N13" s="210"/>
      <c r="O13" s="210"/>
      <c r="P13" s="210"/>
    </row>
    <row r="14" ht="18.75" customHeight="1" spans="1:16">
      <c r="A14" s="226"/>
      <c r="B14" s="172"/>
      <c r="C14" s="172"/>
      <c r="D14" s="172"/>
      <c r="E14" s="227"/>
      <c r="F14" s="172"/>
      <c r="G14" s="230"/>
      <c r="H14" s="173"/>
      <c r="I14" s="149"/>
      <c r="J14" s="173"/>
      <c r="K14" s="230"/>
      <c r="L14" s="173"/>
      <c r="M14" s="210"/>
      <c r="N14" s="210"/>
      <c r="O14" s="210"/>
      <c r="P14" s="210"/>
    </row>
    <row r="15" ht="17.25" customHeight="1" spans="1:16">
      <c r="A15" s="231"/>
      <c r="B15" s="231"/>
      <c r="C15" s="231"/>
      <c r="D15" s="231"/>
      <c r="E15" s="231"/>
      <c r="F15" s="231"/>
      <c r="G15" s="232"/>
      <c r="H15" s="233"/>
      <c r="I15" s="232"/>
      <c r="J15" s="233"/>
      <c r="K15" s="232" t="s">
        <v>207</v>
      </c>
      <c r="L15" s="233" cm="1">
        <f t="array" ref="L15">SUMPRODUCT(G4:G12,N4:N12)</f>
        <v>28622</v>
      </c>
      <c r="M15" s="232"/>
      <c r="N15" s="234"/>
      <c r="O15" s="235" cm="1">
        <f t="array" ref="O15">SUMPRODUCT(O4:O10,$N$4:$N$10)/O19</f>
        <v>0.124845771144279</v>
      </c>
      <c r="P15" s="235" cm="1">
        <f t="array" ref="P15">SUMPRODUCT(P4:P10,$N$4:$N$10)/P19</f>
        <v>0.0175522388059701</v>
      </c>
    </row>
    <row r="16" ht="17.25" customHeight="1" spans="1:16">
      <c r="G16" s="236"/>
      <c r="H16" s="237"/>
      <c r="I16" s="236"/>
      <c r="J16" s="237"/>
      <c r="K16" s="236" t="s">
        <v>273</v>
      </c>
      <c r="L16" s="237">
        <f>L15/'项目评估汇总（昆山90%）'!E5</f>
        <v>0.142398009950249</v>
      </c>
      <c r="M16" s="195"/>
    </row>
    <row r="17" ht="17.25" customHeight="1" spans="13:16">
      <c r="N17" s="238" t="str">
        <f>项目专用模具!N12</f>
        <v>装车比</v>
      </c>
      <c r="O17" s="238">
        <f>'项目评估汇总（昆山90%）'!P35</f>
        <v>1</v>
      </c>
      <c r="P17" s="238">
        <f>'项目评估汇总（昆山90%）'!Q35</f>
        <v>1</v>
      </c>
    </row>
    <row r="18" s="195" customFormat="1" ht="20.1" customHeight="1" spans="13:16">
      <c r="M18" s="195" t="s">
        <v>274</v>
      </c>
      <c r="N18" s="238" t="str">
        <f>项目专用模具!N13</f>
        <v>总量纲</v>
      </c>
      <c r="O18" s="238">
        <f>'项目评估汇总（昆山90%）'!P36</f>
        <v>201000</v>
      </c>
      <c r="P18" s="238">
        <f>'项目评估汇总（昆山90%）'!Q36</f>
        <v>201000</v>
      </c>
    </row>
    <row r="19" s="195" customFormat="1" ht="20.1" customHeight="1" spans="13:16">
      <c r="N19" s="238" t="str">
        <f>项目专用模具!N14</f>
        <v>数量</v>
      </c>
      <c r="O19" s="238">
        <f>O17*O18</f>
        <v>201000</v>
      </c>
      <c r="P19" s="238">
        <f>P17*P18</f>
        <v>201000</v>
      </c>
    </row>
    <row r="20" s="195" customFormat="1" ht="20.1" customHeight="1" spans="13:16">
      <c r="N20" s="238"/>
      <c r="O20" s="238"/>
      <c r="P20" s="238"/>
    </row>
    <row r="21" s="195" customFormat="1" ht="20.1" customHeight="1"/>
    <row r="22" s="195" customFormat="1" ht="20.1" customHeight="1" spans="13:16">
      <c r="M22" s="239" cm="1">
        <f t="array" ref="M22">SUMPRODUCT(O15:P15,O17:P17)</f>
        <v>0.142398009950249</v>
      </c>
    </row>
    <row r="23" s="195" customFormat="1" ht="20.1" customHeight="1"/>
    <row r="24" s="195" customFormat="1" ht="20.1" customHeight="1"/>
    <row r="25" s="195" customFormat="1" ht="20.1" customHeight="1"/>
    <row r="26" s="195" customFormat="1" ht="20.1" customHeight="1"/>
    <row r="27" s="195" customFormat="1" ht="20.1" customHeight="1"/>
    <row r="28" s="195" customFormat="1" ht="20.1" customHeight="1"/>
    <row r="29" s="195" customFormat="1" ht="20.1" customHeight="1"/>
    <row r="30" s="195" customFormat="1" ht="20.1" customHeight="1"/>
    <row r="31" s="195" customFormat="1" ht="20.1" customHeight="1"/>
    <row r="32" s="195" customFormat="1" ht="20.1" customHeight="1"/>
    <row r="33" s="195" customFormat="1" ht="20.1" customHeight="1"/>
    <row r="34" s="195" customFormat="1" ht="20.1" customHeight="1"/>
    <row r="35" s="195" customFormat="1" ht="20.1" customHeight="1"/>
    <row r="36" s="195" customFormat="1" ht="20.1" customHeight="1"/>
    <row r="37" s="195" customFormat="1" ht="20.1" customHeight="1"/>
    <row r="38" s="195" customFormat="1" ht="20.1" customHeight="1"/>
    <row r="39" s="195" customFormat="1" ht="20.1" customHeight="1"/>
    <row r="40" s="195" customFormat="1" ht="20.1" customHeight="1"/>
    <row r="41" s="195" customFormat="1" ht="20.1" customHeight="1"/>
    <row r="42" s="195" customFormat="1" ht="20.1" customHeight="1"/>
    <row r="43" s="195" customFormat="1" ht="20.1" customHeight="1"/>
    <row r="44" s="195" customFormat="1" ht="20.1" customHeight="1"/>
    <row r="45" s="195" customFormat="1" ht="20.1" customHeight="1"/>
    <row r="46" s="195" customFormat="1" ht="20.1" customHeight="1"/>
    <row r="47" s="195" customFormat="1" ht="20.1" customHeight="1"/>
    <row r="48" s="195" customFormat="1" ht="20.1" customHeight="1"/>
    <row r="49" s="195" customFormat="1" ht="20.1" customHeight="1"/>
    <row r="50" s="195" customFormat="1" ht="20.1" customHeight="1"/>
    <row r="51" s="195" customFormat="1" ht="20.1" customHeight="1"/>
    <row r="52" s="195" customFormat="1" ht="20.1" customHeight="1"/>
    <row r="53" s="195" customFormat="1" ht="20.1" customHeight="1"/>
    <row r="54" s="195" customFormat="1" ht="20.1" customHeight="1"/>
    <row r="55" s="195" customFormat="1" ht="20.1" customHeight="1"/>
    <row r="56" s="195" customFormat="1" ht="20.1" customHeight="1"/>
    <row r="57" s="195" customFormat="1" ht="20.1" customHeight="1"/>
    <row r="58" s="195" customFormat="1" ht="20.1" customHeight="1"/>
    <row r="59" s="195" customFormat="1" ht="20.1" customHeight="1"/>
    <row r="60" s="195" customFormat="1" ht="20.1" customHeight="1"/>
    <row r="61" s="195" customFormat="1" ht="20.1" customHeight="1"/>
    <row r="62" s="195" customFormat="1" ht="20.1" customHeight="1"/>
    <row r="63" s="195" customFormat="1" ht="20.1" customHeight="1"/>
    <row r="64" s="195" customFormat="1" ht="20.1" customHeight="1"/>
    <row r="65" s="195" customFormat="1" ht="20.1" customHeight="1"/>
    <row r="66" s="195" customFormat="1" ht="20.1" customHeight="1"/>
    <row r="67" s="195" customFormat="1" ht="20.1" customHeight="1"/>
    <row r="68" s="195" customFormat="1" ht="20.1" customHeight="1"/>
    <row r="69" s="195" customFormat="1" ht="20.1" customHeight="1"/>
    <row r="70" s="195" customFormat="1" ht="20.1" customHeight="1"/>
    <row r="71" s="195" customFormat="1" ht="20.1" customHeight="1"/>
    <row r="72" s="195" customFormat="1" ht="20.1" customHeight="1"/>
    <row r="73" s="195" customFormat="1" ht="20.1" customHeight="1"/>
    <row r="74" s="195" customFormat="1" ht="20.1" customHeight="1"/>
    <row r="75" s="195" customFormat="1" ht="20.1" customHeight="1"/>
    <row r="76" s="195" customFormat="1" ht="20.1" customHeight="1"/>
    <row r="77" s="195" customFormat="1" ht="20.1" customHeight="1"/>
    <row r="78" s="195" customFormat="1" ht="20.1" customHeight="1"/>
    <row r="79" s="195" customFormat="1" ht="20.1" customHeight="1"/>
    <row r="80" s="195" customFormat="1" ht="20.1" customHeight="1"/>
    <row r="81" s="195" customFormat="1" ht="20.1" customHeight="1"/>
    <row r="82" s="195" customFormat="1" ht="20.1" customHeight="1"/>
    <row r="83" s="195" customFormat="1" ht="20.1" customHeight="1"/>
    <row r="84" s="195" customFormat="1" ht="20.1" customHeight="1"/>
    <row r="85" s="195" customFormat="1" ht="20.1" customHeight="1"/>
    <row r="86" s="195" customFormat="1" ht="20.1" customHeight="1"/>
    <row r="87" s="195" customFormat="1" ht="20.1" customHeight="1"/>
    <row r="88" s="195" customFormat="1" ht="20.1" customHeight="1"/>
    <row r="89" s="195" customFormat="1" ht="20.1" customHeight="1"/>
    <row r="90" s="195" customFormat="1" ht="20.1" customHeight="1"/>
    <row r="91" s="195" customFormat="1" ht="20.1" customHeight="1"/>
    <row r="92" s="195" customFormat="1" ht="20.1" customHeight="1"/>
    <row r="93" s="195" customFormat="1" ht="20.1" customHeight="1"/>
    <row r="94" s="195" customFormat="1" ht="20.1" customHeight="1"/>
    <row r="95" s="195" customFormat="1" ht="20.1" customHeight="1"/>
    <row r="96" s="195" customFormat="1" ht="20.1" customHeight="1"/>
    <row r="97" s="195" customFormat="1" ht="20.1" customHeight="1"/>
    <row r="98" s="195" customFormat="1" ht="20.1" customHeight="1"/>
    <row r="99" s="195" customFormat="1" ht="20.1" customHeight="1"/>
    <row r="100" s="195" customFormat="1" ht="20.1" customHeight="1"/>
    <row r="101" s="195" customFormat="1" ht="20.1" customHeight="1"/>
    <row r="102" s="195" customFormat="1" ht="20.1" customHeight="1"/>
    <row r="103" s="195" customFormat="1" ht="20.1" customHeight="1"/>
    <row r="104" s="195" customFormat="1" ht="20.1" customHeight="1"/>
    <row r="105" s="195" customFormat="1" ht="20.1" customHeight="1"/>
    <row r="106" s="195" customFormat="1" ht="20.1" customHeight="1"/>
    <row r="107" s="195" customFormat="1" ht="20.1" customHeight="1"/>
    <row r="108" s="195" customFormat="1" ht="20.1" customHeight="1"/>
    <row r="109" s="195" customFormat="1" ht="20.1" customHeight="1"/>
    <row r="110" s="195" customFormat="1" ht="20.1" customHeight="1"/>
    <row r="111" s="195" customFormat="1" ht="20.1" customHeight="1"/>
    <row r="112" s="195" customFormat="1" ht="20.1" customHeight="1"/>
    <row r="113" s="195" customFormat="1" ht="20.1" customHeight="1"/>
    <row r="114" s="195" customFormat="1" ht="20.1" customHeight="1"/>
    <row r="115" s="195" customFormat="1" ht="20.1" customHeight="1"/>
    <row r="116" s="195" customFormat="1" ht="20.1" customHeight="1"/>
  </sheetData>
  <protectedRanges>
    <protectedRange sqref="N15:P15" name="区域1_11"/>
    <protectedRange sqref="K7:K13 E7:G13" name="区域1_3"/>
    <protectedRange sqref="E4:E6" name="区域1_3_1"/>
    <protectedRange sqref="G4:J6 L4:L10" name="区域1"/>
    <protectedRange sqref="M4:N6" name="区域1_11_1"/>
    <protectedRange sqref="K4:K6" name="区域1_2"/>
    <protectedRange sqref="E4:F6" name="区域1_3_2"/>
  </protectedRanges>
  <autoFilter xmlns:etc="http://www.wps.cn/officeDocument/2017/etCustomData" ref="A3:M16" etc:filterBottomFollowUsedRange="0">
    <extLst/>
  </autoFilter>
  <mergeCells count="5">
    <mergeCell ref="A2:F2"/>
    <mergeCell ref="G2:H2"/>
    <mergeCell ref="I2:J2"/>
    <mergeCell ref="K2:L2"/>
    <mergeCell ref="M2:M3"/>
  </mergeCells>
  <dataValidations count="2">
    <dataValidation type="list" allowBlank="1" showInputMessage="1" showErrorMessage="1" sqref="C4:C13">
      <formula1>专用工装设备大类</formula1>
    </dataValidation>
    <dataValidation type="list" allowBlank="1" showInputMessage="1" showErrorMessage="1" sqref="D4:D6 D8:D13">
      <formula1>专用工装设备名称</formula1>
    </dataValidation>
  </dataValidations>
  <pageMargins left="0.708661417322835" right="0.708661417322835" top="0.748031496062992" bottom="0.748031496062992" header="0.31496062992126" footer="0.31496062992126"/>
  <pageSetup paperSize="9" scale="53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G29"/>
  <sheetViews>
    <sheetView showGridLines="0" workbookViewId="0">
      <selection activeCell="G22" sqref="G22"/>
    </sheetView>
  </sheetViews>
  <sheetFormatPr defaultColWidth="8.88888888888889" defaultRowHeight="15" outlineLevelCol="6"/>
  <cols>
    <col min="1" max="1" width="12.2222222222222" style="162" customWidth="1"/>
    <col min="2" max="2" width="19.3333333333333" style="162" customWidth="1"/>
    <col min="3" max="3" width="18.4444444444444" style="162" customWidth="1"/>
    <col min="4" max="4" width="8.88888888888889" style="162" customWidth="1"/>
    <col min="5" max="5" width="12.8888888888889" style="162" customWidth="1"/>
    <col min="6" max="6" width="17.2222222222222" style="126" customWidth="1"/>
    <col min="7" max="7" width="46.4444444444444" style="162" customWidth="1"/>
    <col min="8" max="16384" width="8.88888888888889" style="162"/>
  </cols>
  <sheetData>
    <row r="1" s="161" customFormat="1" ht="25.5" customHeight="1" spans="1:7">
      <c r="A1" s="163" t="str">
        <f>'项目评估汇总（昆山90%）'!A1</f>
        <v>吉利P162大电池包高压</v>
      </c>
      <c r="B1" s="164"/>
      <c r="C1" s="164"/>
      <c r="D1" s="165"/>
      <c r="E1" s="165"/>
      <c r="F1" s="166" t="s">
        <v>275</v>
      </c>
      <c r="G1" s="166"/>
    </row>
    <row r="2" ht="14.25" customHeight="1" spans="1:7">
      <c r="A2" s="167" t="s">
        <v>276</v>
      </c>
      <c r="B2" s="168"/>
      <c r="C2" s="168"/>
      <c r="D2" s="168"/>
      <c r="E2" s="169"/>
      <c r="F2" s="169"/>
      <c r="G2" s="170" t="s">
        <v>230</v>
      </c>
    </row>
    <row r="3" ht="50.25" customHeight="1" spans="1:7">
      <c r="A3" s="141" t="s">
        <v>164</v>
      </c>
      <c r="B3" s="171" t="s">
        <v>165</v>
      </c>
      <c r="C3" s="171" t="s">
        <v>166</v>
      </c>
      <c r="D3" s="172" t="s">
        <v>169</v>
      </c>
      <c r="E3" s="173" t="s">
        <v>238</v>
      </c>
      <c r="F3" s="149" t="s">
        <v>239</v>
      </c>
      <c r="G3" s="174"/>
    </row>
    <row r="4" spans="1:7">
      <c r="A4" s="141" t="s">
        <v>277</v>
      </c>
      <c r="B4" s="141" t="s">
        <v>278</v>
      </c>
      <c r="C4" s="141" t="s">
        <v>279</v>
      </c>
      <c r="D4" s="175"/>
      <c r="E4" s="176"/>
      <c r="F4" s="145"/>
      <c r="G4" s="177"/>
    </row>
    <row r="5" ht="23.1" customHeight="1" spans="1:7">
      <c r="A5" s="141" t="s">
        <v>280</v>
      </c>
      <c r="B5" s="141" t="s">
        <v>278</v>
      </c>
      <c r="C5" s="141" t="s">
        <v>281</v>
      </c>
      <c r="D5" s="175"/>
      <c r="E5" s="178"/>
      <c r="F5" s="179">
        <v>59200</v>
      </c>
      <c r="G5" s="177"/>
    </row>
    <row r="6" spans="1:7">
      <c r="A6" s="141" t="s">
        <v>282</v>
      </c>
      <c r="B6" s="141" t="s">
        <v>278</v>
      </c>
      <c r="C6" s="141" t="s">
        <v>283</v>
      </c>
      <c r="D6" s="175"/>
      <c r="E6" s="178"/>
      <c r="F6" s="178"/>
      <c r="G6" s="177"/>
    </row>
    <row r="7" spans="1:7">
      <c r="A7" s="141" t="s">
        <v>284</v>
      </c>
      <c r="B7" s="141" t="s">
        <v>278</v>
      </c>
      <c r="C7" s="141" t="s">
        <v>285</v>
      </c>
      <c r="D7" s="141"/>
      <c r="E7" s="176"/>
      <c r="F7" s="176"/>
      <c r="G7" s="177"/>
    </row>
    <row r="8" spans="1:7">
      <c r="A8" s="141" t="s">
        <v>286</v>
      </c>
      <c r="B8" s="141" t="s">
        <v>278</v>
      </c>
      <c r="C8" s="141" t="s">
        <v>287</v>
      </c>
      <c r="D8" s="175"/>
      <c r="E8" s="180"/>
      <c r="F8" s="180">
        <v>4200</v>
      </c>
      <c r="G8" s="177"/>
    </row>
    <row r="9" spans="1:7">
      <c r="A9" s="141" t="s">
        <v>288</v>
      </c>
      <c r="B9" s="141" t="s">
        <v>278</v>
      </c>
      <c r="C9" s="141" t="s">
        <v>289</v>
      </c>
      <c r="D9" s="175"/>
      <c r="E9" s="180"/>
      <c r="F9" s="180"/>
      <c r="G9" s="177"/>
    </row>
    <row r="10" spans="1:7">
      <c r="A10" s="141" t="s">
        <v>290</v>
      </c>
      <c r="B10" s="141" t="s">
        <v>278</v>
      </c>
      <c r="C10" s="141" t="s">
        <v>291</v>
      </c>
      <c r="D10" s="141"/>
      <c r="E10" s="178"/>
      <c r="F10" s="178">
        <v>500000</v>
      </c>
      <c r="G10" s="177"/>
    </row>
    <row r="11" spans="1:7">
      <c r="A11" s="141" t="s">
        <v>292</v>
      </c>
      <c r="B11" s="141" t="s">
        <v>278</v>
      </c>
      <c r="C11" s="141" t="s">
        <v>293</v>
      </c>
      <c r="D11" s="141"/>
      <c r="E11" s="178"/>
      <c r="F11" s="181"/>
      <c r="G11" s="177"/>
    </row>
    <row r="12" spans="1:7">
      <c r="A12" s="141" t="s">
        <v>294</v>
      </c>
      <c r="B12" s="141" t="s">
        <v>278</v>
      </c>
      <c r="C12" s="141" t="s">
        <v>295</v>
      </c>
      <c r="D12" s="141"/>
      <c r="E12" s="178"/>
      <c r="F12" s="145"/>
      <c r="G12" s="177"/>
    </row>
    <row r="13" spans="1:7">
      <c r="A13" s="141" t="s">
        <v>296</v>
      </c>
      <c r="B13" s="141" t="s">
        <v>278</v>
      </c>
      <c r="C13" s="141" t="s">
        <v>297</v>
      </c>
      <c r="D13" s="141"/>
      <c r="E13" s="178"/>
      <c r="F13" s="179"/>
      <c r="G13" s="177"/>
    </row>
    <row r="14" spans="1:7">
      <c r="A14" s="141" t="s">
        <v>298</v>
      </c>
      <c r="B14" s="141" t="s">
        <v>278</v>
      </c>
      <c r="C14" s="141" t="s">
        <v>299</v>
      </c>
      <c r="D14" s="141"/>
      <c r="E14" s="178"/>
      <c r="F14" s="182"/>
      <c r="G14" s="177"/>
    </row>
    <row r="15" spans="1:7">
      <c r="A15" s="141" t="s">
        <v>298</v>
      </c>
      <c r="B15" s="141" t="s">
        <v>278</v>
      </c>
      <c r="C15" s="141" t="s">
        <v>300</v>
      </c>
      <c r="D15" s="141"/>
      <c r="E15" s="178"/>
      <c r="F15" s="179"/>
      <c r="G15" s="183" t="s">
        <v>301</v>
      </c>
    </row>
    <row r="16" spans="1:7">
      <c r="A16" s="141" t="s">
        <v>302</v>
      </c>
      <c r="B16" s="141" t="s">
        <v>278</v>
      </c>
      <c r="C16" s="141" t="s">
        <v>303</v>
      </c>
      <c r="D16" s="141"/>
      <c r="E16" s="178"/>
      <c r="F16" s="179"/>
      <c r="G16" s="177"/>
    </row>
    <row r="17" spans="1:7">
      <c r="A17" s="141" t="s">
        <v>304</v>
      </c>
      <c r="B17" s="141" t="s">
        <v>278</v>
      </c>
      <c r="C17" s="141" t="s">
        <v>305</v>
      </c>
      <c r="D17" s="141"/>
      <c r="E17" s="178"/>
      <c r="F17" s="179"/>
      <c r="G17" s="177"/>
    </row>
    <row r="18" ht="15.75" spans="1:7">
      <c r="A18" s="184"/>
      <c r="B18" s="184"/>
      <c r="C18" s="184"/>
      <c r="D18" s="184"/>
      <c r="E18" s="185" t="s">
        <v>207</v>
      </c>
      <c r="F18" s="186">
        <f>SUM(F4:F17)</f>
        <v>563400</v>
      </c>
      <c r="G18" s="187"/>
    </row>
    <row r="19" spans="1:7">
      <c r="E19" s="157" t="s">
        <v>273</v>
      </c>
      <c r="F19" s="158">
        <f>F18/'项目评估汇总（昆山90%）'!E5</f>
        <v>2.80298507462687</v>
      </c>
      <c r="G19" s="188"/>
    </row>
    <row r="20" spans="1:7">
      <c r="A20" s="189"/>
      <c r="B20" s="189"/>
      <c r="C20" s="189"/>
      <c r="D20" s="189"/>
      <c r="E20" s="190"/>
      <c r="F20" s="191"/>
      <c r="G20" s="190"/>
    </row>
    <row r="21" spans="1:7">
      <c r="C21" s="192"/>
      <c r="D21" s="193"/>
      <c r="F21" s="126">
        <f>F19/配置明细!P14</f>
        <v>0.103814262023217</v>
      </c>
      <c r="G21" s="162" t="s">
        <v>306</v>
      </c>
    </row>
    <row r="22" spans="1:7">
      <c r="C22" s="192"/>
      <c r="D22" s="193"/>
    </row>
    <row r="29" spans="1:7">
      <c r="G29" s="194"/>
    </row>
  </sheetData>
  <mergeCells count="4">
    <mergeCell ref="D1:E1"/>
    <mergeCell ref="F1:G1"/>
    <mergeCell ref="A2:D2"/>
    <mergeCell ref="E2:F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N35"/>
  <sheetViews>
    <sheetView showGridLines="0" zoomScale="70" zoomScaleNormal="70" workbookViewId="0">
      <selection activeCell="M9" sqref="M9"/>
    </sheetView>
  </sheetViews>
  <sheetFormatPr defaultColWidth="8.88888888888889" defaultRowHeight="15"/>
  <cols>
    <col min="1" max="1" width="19" style="124" customWidth="1"/>
    <col min="2" max="2" width="6.44444444444444" style="124" customWidth="1"/>
    <col min="3" max="3" width="22.8888888888889" style="124" customWidth="1"/>
    <col min="4" max="4" width="6.44444444444444" style="124" customWidth="1"/>
    <col min="5" max="5" width="8.66666666666667" style="124" customWidth="1"/>
    <col min="6" max="6" width="7" style="125" customWidth="1"/>
    <col min="7" max="7" width="6.88888888888889" style="125" customWidth="1"/>
    <col min="8" max="8" width="8.66666666666667" style="126" customWidth="1"/>
    <col min="9" max="9" width="13.6666666666667" style="125" customWidth="1"/>
    <col min="10" max="10" width="10.3333333333333" style="125" customWidth="1"/>
    <col min="11" max="11" width="7" style="125" customWidth="1"/>
    <col min="12" max="12" width="9.11111111111111" style="125" customWidth="1"/>
    <col min="13" max="13" width="41" style="124" customWidth="1"/>
    <col min="14" max="14" width="12.8888888888889" style="127" customWidth="1"/>
    <col min="15" max="15" width="8.88888888888889" style="124" customWidth="1"/>
    <col min="16" max="16" width="10.6666666666667" style="124" customWidth="1"/>
    <col min="17" max="44" width="8.88888888888889" style="124" customWidth="1"/>
    <col min="45" max="16384" width="8.88888888888889" style="124"/>
  </cols>
  <sheetData>
    <row r="1" ht="29.1" customHeight="1" spans="1:14">
      <c r="A1" s="128" t="str">
        <f>'项目评估汇总（昆山90%）'!A1</f>
        <v>吉利P162大电池包高压</v>
      </c>
      <c r="B1" s="129"/>
      <c r="C1" s="129"/>
      <c r="D1" s="129"/>
      <c r="E1" s="130"/>
      <c r="F1" s="130" t="s">
        <v>275</v>
      </c>
      <c r="G1" s="130"/>
      <c r="H1" s="131"/>
      <c r="I1" s="130"/>
      <c r="J1" s="130"/>
      <c r="K1" s="130"/>
      <c r="L1" s="130"/>
      <c r="M1" s="132"/>
    </row>
    <row r="2" ht="18.15" spans="1:14">
      <c r="A2" s="128" t="s">
        <v>307</v>
      </c>
      <c r="B2" s="129"/>
      <c r="C2" s="129"/>
      <c r="D2" s="129"/>
      <c r="E2" s="130"/>
      <c r="F2" s="130"/>
      <c r="G2" s="130"/>
      <c r="H2" s="131"/>
      <c r="I2" s="130"/>
      <c r="J2" s="130"/>
      <c r="K2" s="130"/>
      <c r="L2" s="130"/>
      <c r="M2" s="132"/>
    </row>
    <row r="3" s="122" customFormat="1" ht="45" spans="1:14">
      <c r="A3" s="133" t="s">
        <v>308</v>
      </c>
      <c r="B3" s="134" t="s">
        <v>309</v>
      </c>
      <c r="C3" s="134" t="s">
        <v>310</v>
      </c>
      <c r="D3" s="134" t="s">
        <v>86</v>
      </c>
      <c r="E3" s="134" t="s">
        <v>311</v>
      </c>
      <c r="F3" s="135" t="s">
        <v>312</v>
      </c>
      <c r="G3" s="136" t="s">
        <v>313</v>
      </c>
      <c r="H3" s="136" t="s">
        <v>314</v>
      </c>
      <c r="I3" s="136" t="s">
        <v>315</v>
      </c>
      <c r="J3" s="136" t="s">
        <v>316</v>
      </c>
      <c r="K3" s="136" t="s">
        <v>317</v>
      </c>
      <c r="L3" s="136" t="s">
        <v>207</v>
      </c>
      <c r="M3" s="137" t="s">
        <v>3</v>
      </c>
      <c r="N3" s="138"/>
    </row>
    <row r="4" ht="21.75" customHeight="1" spans="1:14">
      <c r="A4" s="139">
        <f>配置明细!B3</f>
        <v>6608523073</v>
      </c>
      <c r="B4" s="140"/>
      <c r="C4" s="141" t="str">
        <f>配置明细!D3</f>
        <v>组合式充电插座线束总成</v>
      </c>
      <c r="D4" s="142">
        <f>配置明细!E3</f>
        <v>1</v>
      </c>
      <c r="E4" s="143">
        <v>4.2566</v>
      </c>
      <c r="F4" s="143">
        <v>1.69515669515669</v>
      </c>
      <c r="G4" s="144">
        <v>5.4608999563128</v>
      </c>
      <c r="H4" s="145"/>
      <c r="I4" s="143"/>
      <c r="J4" s="143">
        <v>4.75</v>
      </c>
      <c r="K4" s="143"/>
      <c r="L4" s="145">
        <f>SUM(E4:K4)</f>
        <v>16.1626566514695</v>
      </c>
      <c r="M4" s="146"/>
    </row>
    <row r="5" ht="21.75" customHeight="1" spans="1:14">
      <c r="A5" s="139">
        <f>配置明细!B4</f>
        <v>6608523072</v>
      </c>
      <c r="B5" s="140"/>
      <c r="C5" s="141" t="str">
        <f>配置明细!D4</f>
        <v>充电线束总成</v>
      </c>
      <c r="D5" s="142">
        <f>配置明细!E4</f>
        <v>1</v>
      </c>
      <c r="E5" s="143">
        <v>0.773478</v>
      </c>
      <c r="F5" s="143">
        <v>0.339031339031339</v>
      </c>
      <c r="G5" s="144">
        <v>0.72811999417504</v>
      </c>
      <c r="H5" s="145"/>
      <c r="I5" s="143"/>
      <c r="J5" s="143">
        <v>2.23333333333333</v>
      </c>
      <c r="K5" s="143"/>
      <c r="L5" s="145">
        <f>SUM(E5:K5)</f>
        <v>4.07396266653971</v>
      </c>
      <c r="M5" s="146"/>
    </row>
    <row r="6" ht="21.75" customHeight="1" spans="1:14">
      <c r="A6" s="139"/>
      <c r="B6" s="140"/>
      <c r="C6" s="141"/>
      <c r="D6" s="142"/>
      <c r="E6" s="143"/>
      <c r="F6" s="144"/>
      <c r="G6" s="144"/>
      <c r="H6" s="145"/>
      <c r="I6" s="145"/>
      <c r="J6" s="145"/>
      <c r="K6" s="145"/>
      <c r="L6" s="145"/>
      <c r="M6" s="146"/>
    </row>
    <row r="7" ht="21.75" customHeight="1" spans="1:14">
      <c r="A7" s="139"/>
      <c r="B7" s="140"/>
      <c r="C7" s="141"/>
      <c r="D7" s="142"/>
      <c r="E7" s="143"/>
      <c r="F7" s="144"/>
      <c r="G7" s="144"/>
      <c r="H7" s="145"/>
      <c r="I7" s="145"/>
      <c r="J7" s="145"/>
      <c r="K7" s="145"/>
      <c r="L7" s="145"/>
      <c r="M7" s="146"/>
    </row>
    <row r="8" ht="21.75" customHeight="1" spans="1:14">
      <c r="A8" s="139"/>
      <c r="B8" s="140"/>
      <c r="C8" s="141"/>
      <c r="D8" s="142"/>
      <c r="E8" s="143"/>
      <c r="F8" s="144"/>
      <c r="G8" s="144"/>
      <c r="H8" s="145"/>
      <c r="I8" s="145"/>
      <c r="J8" s="145"/>
      <c r="K8" s="145"/>
      <c r="L8" s="145"/>
      <c r="M8" s="146"/>
    </row>
    <row r="9" ht="21.75" customHeight="1" spans="1:14">
      <c r="A9" s="139"/>
      <c r="B9" s="140"/>
      <c r="C9" s="141"/>
      <c r="D9" s="142"/>
      <c r="E9" s="143"/>
      <c r="F9" s="144"/>
      <c r="G9" s="144"/>
      <c r="H9" s="145"/>
      <c r="I9" s="145"/>
      <c r="J9" s="145"/>
      <c r="K9" s="145"/>
      <c r="L9" s="145"/>
      <c r="M9" s="146"/>
    </row>
    <row r="10" ht="21.75" customHeight="1" spans="1:14">
      <c r="A10" s="139"/>
      <c r="B10" s="140"/>
      <c r="C10" s="141"/>
      <c r="D10" s="142"/>
      <c r="E10" s="143"/>
      <c r="F10" s="144"/>
      <c r="G10" s="144"/>
      <c r="H10" s="145"/>
      <c r="I10" s="145"/>
      <c r="J10" s="145"/>
      <c r="K10" s="145"/>
      <c r="L10" s="145"/>
      <c r="M10" s="146"/>
    </row>
    <row r="11" ht="21.75" customHeight="1" spans="1:14">
      <c r="A11" s="139"/>
      <c r="B11" s="140"/>
      <c r="C11" s="141"/>
      <c r="D11" s="142"/>
      <c r="E11" s="143"/>
      <c r="F11" s="144"/>
      <c r="G11" s="144"/>
      <c r="H11" s="145"/>
      <c r="I11" s="145"/>
      <c r="J11" s="145"/>
      <c r="K11" s="145"/>
      <c r="L11" s="145"/>
      <c r="M11" s="146"/>
    </row>
    <row r="12" ht="21.75" customHeight="1" spans="1:14">
      <c r="A12" s="139"/>
      <c r="B12" s="140"/>
      <c r="C12" s="141"/>
      <c r="D12" s="142"/>
      <c r="E12" s="143"/>
      <c r="F12" s="144"/>
      <c r="G12" s="144"/>
      <c r="H12" s="145"/>
      <c r="I12" s="145"/>
      <c r="J12" s="145"/>
      <c r="K12" s="145"/>
      <c r="L12" s="145"/>
      <c r="M12" s="146"/>
    </row>
    <row r="13" s="123" customFormat="1" ht="18.75" customHeight="1" spans="1:14">
      <c r="A13" s="147"/>
      <c r="B13" s="148"/>
      <c r="C13" s="141"/>
      <c r="D13" s="142"/>
      <c r="E13" s="143"/>
      <c r="F13" s="149"/>
      <c r="G13" s="145"/>
      <c r="H13" s="145"/>
      <c r="I13" s="145"/>
      <c r="J13" s="145"/>
      <c r="K13" s="145"/>
      <c r="L13" s="145"/>
      <c r="M13" s="150"/>
      <c r="N13" s="151"/>
    </row>
    <row r="14" ht="31.5" customHeight="1" spans="1:14">
      <c r="A14" s="152" t="s">
        <v>273</v>
      </c>
      <c r="B14" s="153"/>
      <c r="C14" s="153"/>
      <c r="D14" s="152"/>
      <c r="E14" s="154" cm="1">
        <f t="array" ref="E14">SUMPRODUCT(E4:E13,$D$4:$D$13)</f>
        <v>5.030078</v>
      </c>
      <c r="F14" s="154" cm="1">
        <f t="array" ref="F14">SUMPRODUCT(F4:F13,$D$4:$D$13)</f>
        <v>2.03418803418803</v>
      </c>
      <c r="G14" s="154" cm="1">
        <f t="array" ref="G14">SUMPRODUCT(G4:G13,$D$4:$D$13)</f>
        <v>6.18901995048784</v>
      </c>
      <c r="H14" s="155">
        <f t="array" ref="H14">SUMPRODUCT(H4:H13,$D$4:$D$13)</f>
        <v>0</v>
      </c>
      <c r="I14" s="154">
        <f t="array" ref="I14">SUMPRODUCT(I4:I13,$D$4:$D$13)</f>
        <v>0</v>
      </c>
      <c r="J14" s="154">
        <f t="array" ref="J14">SUMPRODUCT(J4:J13,$D$4:$D$13)</f>
        <v>6.98333333333333</v>
      </c>
      <c r="K14" s="154">
        <f t="array" ref="K14">SUMPRODUCT(K4:K13,$D$4:$D$13)</f>
        <v>0</v>
      </c>
      <c r="L14" s="154" cm="1">
        <f t="array" ref="L14">SUMPRODUCT(L4:L13,$D$4:$D$13)</f>
        <v>20.2366193180092</v>
      </c>
      <c r="M14" s="156"/>
    </row>
    <row r="15" spans="1:14">
      <c r="E15" s="157"/>
      <c r="F15" s="158"/>
      <c r="G15" s="159"/>
      <c r="H15" s="159"/>
      <c r="I15" s="159"/>
      <c r="J15" s="159"/>
      <c r="K15" s="159"/>
      <c r="L15" s="159"/>
    </row>
    <row r="16" spans="1:14">
      <c r="H16" s="126" t="s">
        <v>318</v>
      </c>
      <c r="M16" s="160"/>
    </row>
    <row r="18" spans="13:13">
      <c r="M18" s="125"/>
    </row>
    <row r="19" spans="13:13">
      <c r="M19" s="125"/>
    </row>
    <row r="20" spans="13:13">
      <c r="M20" s="125"/>
    </row>
    <row r="21" spans="13:13">
      <c r="M21" s="125"/>
    </row>
    <row r="22" spans="13:13">
      <c r="M22" s="125"/>
    </row>
    <row r="23" spans="13:13">
      <c r="M23" s="125"/>
    </row>
    <row r="24" spans="13:13">
      <c r="M24" s="125"/>
    </row>
    <row r="25" spans="13:13">
      <c r="M25" s="125"/>
    </row>
    <row r="26" spans="13:13">
      <c r="M26" s="125"/>
    </row>
    <row r="27" spans="13:13">
      <c r="M27" s="125"/>
    </row>
    <row r="28" spans="13:13">
      <c r="M28" s="125"/>
    </row>
    <row r="29" spans="13:13">
      <c r="M29" s="125"/>
    </row>
    <row r="30" spans="13:13">
      <c r="M30" s="125"/>
    </row>
    <row r="31" spans="13:13">
      <c r="M31" s="125"/>
    </row>
    <row r="32" spans="13:13">
      <c r="M32" s="125"/>
    </row>
    <row r="33" spans="13:13">
      <c r="M33" s="125"/>
    </row>
    <row r="34" spans="13:13">
      <c r="M34" s="125"/>
    </row>
    <row r="35" spans="13:13">
      <c r="M35" s="127"/>
    </row>
  </sheetData>
  <mergeCells count="1">
    <mergeCell ref="F1:M1"/>
  </mergeCells>
  <conditionalFormatting sqref="A4:A5">
    <cfRule type="duplicateValues" dxfId="0" priority="4"/>
  </conditionalFormatting>
  <conditionalFormatting sqref="A6:A13 A16:A17">
    <cfRule type="duplicateValues" dxfId="0" priority="9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890133365886"/>
  </sheetPr>
  <dimension ref="A1:W19"/>
  <sheetViews>
    <sheetView showGridLines="0"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M28" sqref="M28"/>
    </sheetView>
  </sheetViews>
  <sheetFormatPr defaultColWidth="8.88888888888889" defaultRowHeight="15"/>
  <cols>
    <col min="1" max="2" width="20.4444444444444" style="86" customWidth="1"/>
    <col min="3" max="3" width="6" style="86" customWidth="1"/>
    <col min="4" max="4" width="24" style="87" customWidth="1"/>
    <col min="5" max="5" width="5.44444444444444" style="86" customWidth="1"/>
    <col min="6" max="6" width="10.3333333333333" style="86" customWidth="1"/>
    <col min="7" max="7" width="14.1111111111111" style="88" customWidth="1"/>
    <col min="8" max="8" width="9.88888888888889" style="88" hidden="1" customWidth="1"/>
    <col min="9" max="9" width="11.7777777777778" style="88" customWidth="1"/>
    <col min="10" max="11" width="9.88888888888889" style="88" customWidth="1"/>
    <col min="12" max="14" width="11.7777777777778" style="89" customWidth="1"/>
    <col min="15" max="15" width="9.77777777777778" style="90" customWidth="1"/>
    <col min="16" max="16" width="12.6666666666667" style="91" customWidth="1"/>
    <col min="17" max="20" width="10.4444444444444" style="92" hidden="1" customWidth="1"/>
    <col min="21" max="21" width="10.3333333333333" style="92" customWidth="1"/>
    <col min="22" max="22" width="10.4444444444444" style="92" customWidth="1"/>
    <col min="23" max="23" width="10.3333333333333" style="93" customWidth="1"/>
    <col min="24" max="24" width="8.88888888888889" style="93"/>
    <col min="25" max="25" width="14.3333333333333" style="93"/>
    <col min="26" max="16384" width="8.88888888888889" style="93"/>
  </cols>
  <sheetData>
    <row r="1" s="85" customFormat="1" ht="30" customHeight="1" spans="1:23">
      <c r="A1" s="94" t="str">
        <f>'项目评估汇总（昆山90%）'!A1</f>
        <v>吉利P162大电池包高压</v>
      </c>
      <c r="C1" s="95"/>
      <c r="D1" s="95"/>
      <c r="E1" s="95"/>
      <c r="F1" s="95"/>
      <c r="G1" s="96"/>
      <c r="H1" s="97"/>
      <c r="I1" s="96"/>
      <c r="J1" s="96"/>
      <c r="K1" s="96"/>
      <c r="L1" s="98"/>
      <c r="M1" s="98"/>
      <c r="N1" s="98"/>
      <c r="O1" s="99"/>
      <c r="P1" s="100"/>
      <c r="Q1" s="96"/>
      <c r="R1" s="96"/>
      <c r="S1" s="96"/>
      <c r="T1" s="96"/>
      <c r="U1" s="96"/>
      <c r="V1" s="96"/>
    </row>
    <row r="2" ht="45.6" spans="1:23">
      <c r="A2" s="101" t="s">
        <v>319</v>
      </c>
      <c r="B2" s="101" t="s">
        <v>84</v>
      </c>
      <c r="C2" s="101" t="s">
        <v>320</v>
      </c>
      <c r="D2" s="102" t="s">
        <v>85</v>
      </c>
      <c r="E2" s="101" t="s">
        <v>170</v>
      </c>
      <c r="F2" s="101" t="s">
        <v>169</v>
      </c>
      <c r="G2" s="103" t="s">
        <v>321</v>
      </c>
      <c r="H2" s="103" t="s">
        <v>322</v>
      </c>
      <c r="I2" s="103" t="s">
        <v>323</v>
      </c>
      <c r="J2" s="103" t="s">
        <v>324</v>
      </c>
      <c r="K2" s="103" t="s">
        <v>325</v>
      </c>
      <c r="L2" s="104" t="s">
        <v>326</v>
      </c>
      <c r="M2" s="104" t="s">
        <v>327</v>
      </c>
      <c r="N2" s="104" t="s">
        <v>328</v>
      </c>
      <c r="O2" s="103" t="s">
        <v>329</v>
      </c>
      <c r="P2" s="105" t="s">
        <v>9</v>
      </c>
      <c r="Q2" s="103" t="s">
        <v>330</v>
      </c>
      <c r="R2" s="103" t="s">
        <v>331</v>
      </c>
      <c r="S2" s="103" t="s">
        <v>332</v>
      </c>
      <c r="T2" s="103" t="s">
        <v>333</v>
      </c>
      <c r="U2" s="103" t="s">
        <v>334</v>
      </c>
      <c r="V2" s="103" t="s">
        <v>335</v>
      </c>
      <c r="W2" s="106" t="s">
        <v>336</v>
      </c>
    </row>
    <row r="3" ht="15.6" customHeight="1" spans="1:23">
      <c r="A3" s="107">
        <v>1</v>
      </c>
      <c r="B3" s="107">
        <v>6608523073</v>
      </c>
      <c r="C3" s="101"/>
      <c r="D3" s="108" t="s">
        <v>337</v>
      </c>
      <c r="E3" s="101">
        <v>1</v>
      </c>
      <c r="F3" s="101" t="s">
        <v>338</v>
      </c>
      <c r="G3" s="109">
        <f>SUMIFS('KSK线束BOM明细 '!U:U,'KSK线束BOM明细 '!A:A,B3)</f>
        <v>296.279969357</v>
      </c>
      <c r="H3" s="109"/>
      <c r="I3" s="109"/>
      <c r="J3" s="109"/>
      <c r="K3" s="109"/>
      <c r="L3" s="110"/>
      <c r="M3" s="111">
        <v>0.639</v>
      </c>
      <c r="N3" s="111">
        <v>0.487</v>
      </c>
      <c r="O3" s="112">
        <v>12</v>
      </c>
      <c r="P3" s="112">
        <v>25</v>
      </c>
      <c r="Q3" s="113"/>
      <c r="R3" s="113"/>
      <c r="S3" s="113"/>
      <c r="T3" s="113"/>
      <c r="U3" s="113"/>
      <c r="V3" s="114"/>
      <c r="W3" s="106"/>
    </row>
    <row r="4" ht="15.6" customHeight="1" spans="1:23">
      <c r="A4" s="107">
        <v>2</v>
      </c>
      <c r="B4" s="107">
        <v>6608523072</v>
      </c>
      <c r="C4" s="101"/>
      <c r="D4" s="108" t="s">
        <v>339</v>
      </c>
      <c r="E4" s="101">
        <v>1</v>
      </c>
      <c r="F4" s="101" t="s">
        <v>338</v>
      </c>
      <c r="G4" s="109">
        <f>SUMIFS('KSK线束BOM明细 '!U:U,'KSK线束BOM明细 '!A:A,B4)</f>
        <v>90.851158738</v>
      </c>
      <c r="H4" s="109"/>
      <c r="I4" s="109"/>
      <c r="J4" s="109"/>
      <c r="K4" s="109"/>
      <c r="L4" s="110"/>
      <c r="M4" s="111">
        <v>0.315</v>
      </c>
      <c r="N4" s="111">
        <v>0.157</v>
      </c>
      <c r="O4" s="112">
        <v>29.45</v>
      </c>
      <c r="P4" s="112">
        <v>2</v>
      </c>
      <c r="Q4" s="113"/>
      <c r="R4" s="113"/>
      <c r="S4" s="113"/>
      <c r="T4" s="113"/>
      <c r="U4" s="113"/>
      <c r="V4" s="114"/>
      <c r="W4" s="106"/>
    </row>
    <row r="5" ht="15.6" customHeight="1" spans="1:23">
      <c r="A5" s="107"/>
      <c r="B5" s="107"/>
      <c r="C5" s="101"/>
      <c r="D5" s="108"/>
      <c r="E5" s="101"/>
      <c r="F5" s="101"/>
      <c r="G5" s="109"/>
      <c r="H5" s="109"/>
      <c r="I5" s="109"/>
      <c r="J5" s="109"/>
      <c r="K5" s="109"/>
      <c r="L5" s="110"/>
      <c r="M5" s="111"/>
      <c r="N5" s="111"/>
      <c r="O5" s="112"/>
      <c r="P5" s="112"/>
      <c r="Q5" s="113"/>
      <c r="R5" s="113"/>
      <c r="S5" s="113"/>
      <c r="T5" s="113"/>
      <c r="U5" s="113"/>
      <c r="V5" s="114"/>
      <c r="W5" s="106"/>
    </row>
    <row r="6" ht="15.6" customHeight="1" spans="1:23">
      <c r="A6" s="107"/>
      <c r="B6" s="107"/>
      <c r="C6" s="101"/>
      <c r="D6" s="108"/>
      <c r="E6" s="101"/>
      <c r="F6" s="101"/>
      <c r="G6" s="109"/>
      <c r="H6" s="109"/>
      <c r="I6" s="109"/>
      <c r="J6" s="109"/>
      <c r="K6" s="109"/>
      <c r="L6" s="110"/>
      <c r="M6" s="111"/>
      <c r="N6" s="111"/>
      <c r="O6" s="112"/>
      <c r="P6" s="112"/>
      <c r="Q6" s="113"/>
      <c r="R6" s="113"/>
      <c r="S6" s="113"/>
      <c r="T6" s="113"/>
      <c r="U6" s="113"/>
      <c r="V6" s="114"/>
      <c r="W6" s="106"/>
    </row>
    <row r="7" ht="15.6" customHeight="1" spans="1:23">
      <c r="A7" s="107"/>
      <c r="B7" s="107"/>
      <c r="C7" s="101"/>
      <c r="D7" s="108"/>
      <c r="E7" s="101"/>
      <c r="F7" s="101"/>
      <c r="G7" s="109"/>
      <c r="H7" s="109"/>
      <c r="I7" s="109"/>
      <c r="J7" s="109"/>
      <c r="K7" s="109"/>
      <c r="L7" s="110"/>
      <c r="M7" s="111"/>
      <c r="N7" s="111"/>
      <c r="O7" s="112"/>
      <c r="P7" s="112"/>
      <c r="Q7" s="113"/>
      <c r="R7" s="113"/>
      <c r="S7" s="113"/>
      <c r="T7" s="113"/>
      <c r="U7" s="113"/>
      <c r="V7" s="114"/>
      <c r="W7" s="106"/>
    </row>
    <row r="8" ht="15.6" customHeight="1" spans="1:23">
      <c r="A8" s="107"/>
      <c r="B8" s="107"/>
      <c r="C8" s="101"/>
      <c r="D8" s="108"/>
      <c r="E8" s="101"/>
      <c r="F8" s="101"/>
      <c r="G8" s="109"/>
      <c r="H8" s="109"/>
      <c r="I8" s="109"/>
      <c r="J8" s="109"/>
      <c r="K8" s="109"/>
      <c r="L8" s="110"/>
      <c r="M8" s="111"/>
      <c r="N8" s="111"/>
      <c r="O8" s="112"/>
      <c r="P8" s="112"/>
      <c r="Q8" s="113"/>
      <c r="R8" s="113"/>
      <c r="S8" s="113"/>
      <c r="T8" s="113"/>
      <c r="U8" s="113"/>
      <c r="V8" s="114"/>
      <c r="W8" s="106"/>
    </row>
    <row r="9" ht="15.6" customHeight="1" spans="1:23">
      <c r="A9" s="107"/>
      <c r="B9" s="107"/>
      <c r="C9" s="101"/>
      <c r="D9" s="108"/>
      <c r="E9" s="101"/>
      <c r="F9" s="101"/>
      <c r="G9" s="109"/>
      <c r="H9" s="109"/>
      <c r="I9" s="109"/>
      <c r="J9" s="109"/>
      <c r="K9" s="109"/>
      <c r="L9" s="110"/>
      <c r="M9" s="111"/>
      <c r="N9" s="111"/>
      <c r="O9" s="112"/>
      <c r="P9" s="112"/>
      <c r="Q9" s="113"/>
      <c r="R9" s="113"/>
      <c r="S9" s="113"/>
      <c r="T9" s="113"/>
      <c r="U9" s="113"/>
      <c r="V9" s="114"/>
      <c r="W9" s="106"/>
    </row>
    <row r="10" ht="15.6" customHeight="1" spans="1:23">
      <c r="A10" s="107"/>
      <c r="B10" s="107"/>
      <c r="C10" s="101"/>
      <c r="D10" s="108"/>
      <c r="E10" s="101"/>
      <c r="F10" s="101"/>
      <c r="G10" s="109"/>
      <c r="H10" s="109"/>
      <c r="I10" s="109"/>
      <c r="J10" s="109"/>
      <c r="K10" s="109"/>
      <c r="L10" s="110"/>
      <c r="M10" s="111"/>
      <c r="N10" s="111"/>
      <c r="O10" s="112"/>
      <c r="P10" s="112"/>
      <c r="Q10" s="113"/>
      <c r="R10" s="113"/>
      <c r="S10" s="113"/>
      <c r="T10" s="113"/>
      <c r="U10" s="113"/>
      <c r="V10" s="114"/>
      <c r="W10" s="106"/>
    </row>
    <row r="11" ht="15.6" customHeight="1" spans="1:23">
      <c r="A11" s="107"/>
      <c r="B11" s="107"/>
      <c r="C11" s="101"/>
      <c r="D11" s="108"/>
      <c r="E11" s="101"/>
      <c r="F11" s="101"/>
      <c r="G11" s="109"/>
      <c r="H11" s="109"/>
      <c r="I11" s="109"/>
      <c r="J11" s="109"/>
      <c r="K11" s="109"/>
      <c r="L11" s="110"/>
      <c r="M11" s="111"/>
      <c r="N11" s="111"/>
      <c r="O11" s="112"/>
      <c r="P11" s="112"/>
      <c r="Q11" s="113"/>
      <c r="R11" s="113"/>
      <c r="S11" s="113"/>
      <c r="T11" s="113"/>
      <c r="U11" s="113"/>
      <c r="V11" s="114"/>
      <c r="W11" s="106"/>
    </row>
    <row r="12" ht="15.6" customHeight="1" spans="1:23">
      <c r="A12" s="107"/>
      <c r="B12" s="107"/>
      <c r="C12" s="101"/>
      <c r="D12" s="108"/>
      <c r="E12" s="101"/>
      <c r="F12" s="101"/>
      <c r="G12" s="109"/>
      <c r="H12" s="109"/>
      <c r="I12" s="109"/>
      <c r="J12" s="109"/>
      <c r="K12" s="109"/>
      <c r="L12" s="110"/>
      <c r="M12" s="111"/>
      <c r="N12" s="111"/>
      <c r="O12" s="112"/>
      <c r="P12" s="112"/>
      <c r="Q12" s="113"/>
      <c r="R12" s="113"/>
      <c r="S12" s="113"/>
      <c r="T12" s="113"/>
      <c r="U12" s="113"/>
      <c r="V12" s="114"/>
      <c r="W12" s="106"/>
    </row>
    <row r="13" ht="15.6" customHeight="1" spans="1:23">
      <c r="A13" s="107"/>
      <c r="B13" s="115"/>
      <c r="C13" s="101"/>
      <c r="D13" s="108"/>
      <c r="E13" s="101"/>
      <c r="F13" s="101"/>
      <c r="G13" s="109"/>
      <c r="H13" s="109"/>
      <c r="I13" s="109"/>
      <c r="J13" s="109"/>
      <c r="K13" s="109"/>
      <c r="L13" s="116"/>
      <c r="M13" s="116"/>
      <c r="N13" s="116"/>
      <c r="O13" s="112"/>
      <c r="P13" s="117"/>
      <c r="Q13" s="113"/>
      <c r="R13" s="113"/>
      <c r="S13" s="113"/>
      <c r="T13" s="113"/>
      <c r="U13" s="114"/>
      <c r="V13" s="114"/>
      <c r="W13" s="106"/>
    </row>
    <row r="14" spans="1:23">
      <c r="A14" s="118"/>
      <c r="B14" s="118" t="s">
        <v>207</v>
      </c>
      <c r="C14" s="119"/>
      <c r="D14" s="119"/>
      <c r="E14" s="119"/>
      <c r="F14" s="120"/>
      <c r="G14" s="113" cm="1">
        <f t="array" ref="G14">SUMPRODUCT(G3:G13,$E$3:$E$13)</f>
        <v>387.131128095</v>
      </c>
      <c r="H14" s="113" cm="1">
        <f t="array" ref="H14">SUMPRODUCT(H3:H13,$E$3:$E$13)</f>
        <v>0</v>
      </c>
      <c r="I14" s="113" cm="1">
        <f t="array" ref="I14">SUMPRODUCT(I3:I13,$E$3:$E$13)</f>
        <v>0</v>
      </c>
      <c r="J14" s="113" cm="1">
        <f t="array" ref="J14">SUMPRODUCT(J3:J13,$E$3:$E$13)</f>
        <v>0</v>
      </c>
      <c r="K14" s="113" cm="1">
        <f t="array" ref="K14">SUMPRODUCT(K3:K13,$E$3:$E$13)</f>
        <v>0</v>
      </c>
      <c r="L14" s="113" cm="1">
        <f t="array" ref="L14">SUMPRODUCT(L3:L13,$E$3:$E$13)</f>
        <v>0</v>
      </c>
      <c r="M14" s="113" cm="1">
        <f t="array" ref="M14">SUMPRODUCT(M3:M13,$E$3:$E$13)</f>
        <v>0.954</v>
      </c>
      <c r="N14" s="113" cm="1">
        <f t="array" ref="N14">SUMPRODUCT(N3:N13,$E$3:$E$13)</f>
        <v>0.644</v>
      </c>
      <c r="O14" s="113" cm="1">
        <f t="array" ref="O14">SUMPRODUCT(O3:O13,$E$3:$E$13)</f>
        <v>41.45</v>
      </c>
      <c r="P14" s="113" cm="1">
        <f t="array" ref="P14">SUMPRODUCT(P3:P13,$E$3:$E$13)</f>
        <v>27</v>
      </c>
      <c r="Q14" s="113">
        <f t="shared" ref="Q14:W14" si="0">SUMPRODUCT(Q3:Q13,$E$3:$E$13)</f>
        <v>0</v>
      </c>
      <c r="R14" s="113">
        <f t="shared" si="0"/>
        <v>0</v>
      </c>
      <c r="S14" s="113">
        <f t="shared" si="0"/>
        <v>0</v>
      </c>
      <c r="T14" s="113">
        <f t="shared" si="0"/>
        <v>0</v>
      </c>
      <c r="U14" s="113">
        <f t="shared" si="0"/>
        <v>0</v>
      </c>
      <c r="V14" s="113">
        <f t="shared" si="0"/>
        <v>0</v>
      </c>
      <c r="W14" s="113">
        <f t="shared" si="0"/>
        <v>0</v>
      </c>
    </row>
    <row r="16" spans="1:23">
      <c r="G16" s="88" t="s">
        <v>340</v>
      </c>
      <c r="I16" s="88">
        <v>69.43</v>
      </c>
      <c r="P16" s="121"/>
    </row>
    <row r="17" spans="7:16">
      <c r="G17" s="88" t="s">
        <v>341</v>
      </c>
      <c r="I17" s="88">
        <f>I14*I16</f>
        <v>0</v>
      </c>
      <c r="P17" s="121"/>
    </row>
    <row r="18" spans="7:16">
      <c r="G18" s="88" t="s">
        <v>342</v>
      </c>
      <c r="I18" s="88">
        <f>J14*18.21</f>
        <v>0</v>
      </c>
    </row>
    <row r="19" spans="7:16">
      <c r="L19" s="89" t="s">
        <v>343</v>
      </c>
    </row>
  </sheetData>
  <autoFilter xmlns:etc="http://www.wps.cn/officeDocument/2017/etCustomData" ref="B2:W14" etc:filterBottomFollowUsedRange="0">
    <extLst/>
  </autoFilter>
  <mergeCells count="1">
    <mergeCell ref="B14:F14"/>
  </mergeCells>
  <conditionalFormatting sqref="B13">
    <cfRule type="duplicateValues" dxfId="0" priority="14"/>
  </conditionalFormatting>
  <conditionalFormatting sqref="A3:A13">
    <cfRule type="duplicateValues" dxfId="0" priority="16"/>
  </conditionalFormatting>
  <conditionalFormatting sqref="B3:B12">
    <cfRule type="duplicateValues" dxfId="0" priority="17"/>
  </conditionalFormatting>
  <conditionalFormatting sqref="A1 B2 B14:B1048576">
    <cfRule type="duplicateValues" dxfId="0" priority="13"/>
  </conditionalFormatting>
  <conditionalFormatting sqref="A2 A14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2"/>
  <sheetViews>
    <sheetView zoomScale="70" zoomScaleNormal="70" topLeftCell="D47" workbookViewId="0">
      <selection activeCell="L88" sqref="L88"/>
    </sheetView>
  </sheetViews>
  <sheetFormatPr defaultColWidth="9" defaultRowHeight="15.6"/>
  <cols>
    <col min="1" max="1" width="18.8888888888889" style="2" customWidth="1"/>
    <col min="2" max="2" width="26.4444444444444" style="2" customWidth="1"/>
    <col min="3" max="3" width="44.2222222222222" style="32" customWidth="1"/>
    <col min="4" max="4" width="55.2222222222222" style="33" customWidth="1"/>
    <col min="5" max="5" width="11.6666666666667" style="2" customWidth="1"/>
    <col min="6" max="6" width="15.1111111111111" style="2" customWidth="1"/>
    <col min="7" max="7" width="9" style="33" customWidth="1"/>
    <col min="8" max="9" width="9" style="33"/>
    <col min="10" max="10" width="10.5555555555556" style="2" customWidth="1"/>
    <col min="11" max="11" width="9" style="33"/>
    <col min="12" max="12" width="29.2222222222222" style="33" customWidth="1"/>
    <col min="13" max="13" width="35.5555555555556" style="2" customWidth="1"/>
    <col min="14" max="14" width="12.6666666666667" style="33" customWidth="1"/>
    <col min="15" max="15" width="9" style="7"/>
    <col min="16" max="16" width="15.3333333333333" style="34" customWidth="1"/>
    <col min="17" max="18" width="9" style="34"/>
    <col min="19" max="21" width="10.7777777777778" style="34"/>
    <col min="22" max="22" width="9" style="34"/>
    <col min="23" max="23" width="12.7777777777778" style="34" customWidth="1"/>
    <col min="24" max="24" width="17.6666666666667" style="7" customWidth="1"/>
    <col min="25" max="16384" width="9" style="7"/>
  </cols>
  <sheetData>
    <row r="1" ht="16.2" spans="1:24">
      <c r="A1" s="35" t="s">
        <v>344</v>
      </c>
      <c r="B1" s="35" t="s">
        <v>85</v>
      </c>
      <c r="C1" s="36" t="s">
        <v>84</v>
      </c>
      <c r="D1" s="37" t="s">
        <v>345</v>
      </c>
      <c r="E1" s="38" t="s">
        <v>346</v>
      </c>
      <c r="F1" s="38" t="s">
        <v>347</v>
      </c>
      <c r="G1" s="37"/>
      <c r="H1" s="37"/>
      <c r="I1" s="38" t="s">
        <v>348</v>
      </c>
      <c r="J1" s="38" t="s">
        <v>170</v>
      </c>
      <c r="K1" s="38" t="s">
        <v>169</v>
      </c>
      <c r="L1" s="38" t="s">
        <v>163</v>
      </c>
      <c r="M1" s="39" t="s">
        <v>349</v>
      </c>
      <c r="N1" s="38" t="s">
        <v>350</v>
      </c>
      <c r="O1" s="40" t="s">
        <v>351</v>
      </c>
      <c r="P1" s="41" t="s">
        <v>231</v>
      </c>
      <c r="Q1" s="34" t="s">
        <v>88</v>
      </c>
      <c r="R1" s="34" t="s">
        <v>87</v>
      </c>
      <c r="S1" s="34" t="s">
        <v>352</v>
      </c>
      <c r="T1" s="34" t="s">
        <v>353</v>
      </c>
      <c r="U1" s="34" t="s">
        <v>354</v>
      </c>
      <c r="V1" s="34" t="s">
        <v>355</v>
      </c>
      <c r="W1" s="34" t="s">
        <v>356</v>
      </c>
      <c r="X1" s="7" t="s">
        <v>3</v>
      </c>
    </row>
    <row r="2" spans="1:24">
      <c r="A2" s="42">
        <v>6608523073</v>
      </c>
      <c r="B2" s="42" t="s">
        <v>337</v>
      </c>
      <c r="C2" s="43" t="s">
        <v>357</v>
      </c>
      <c r="D2" s="43" t="s">
        <v>358</v>
      </c>
      <c r="E2" s="43" t="s">
        <v>359</v>
      </c>
      <c r="F2" s="43"/>
      <c r="G2" s="43"/>
      <c r="H2" s="43"/>
      <c r="I2" s="43"/>
      <c r="J2" s="43">
        <v>1</v>
      </c>
      <c r="K2" s="44" t="s">
        <v>360</v>
      </c>
      <c r="L2" s="43" t="s">
        <v>361</v>
      </c>
      <c r="M2" s="45" t="s">
        <v>362</v>
      </c>
      <c r="N2" s="8" t="s">
        <v>363</v>
      </c>
      <c r="O2" s="46" t="str">
        <f>IFERROR(VLOOKUP($C2,二次物料明细!$A:$N,COLUMN(二次物料明细!H$1),),0)</f>
        <v>江苏林</v>
      </c>
      <c r="P2" s="47">
        <f>IFERROR(VLOOKUP($C2,二次物料明细!$A:$N,COLUMN(二次物料明细!I$1),),0)</f>
        <v>170</v>
      </c>
      <c r="Q2" s="47">
        <f>IFERROR(VLOOKUP($C2,二次物料明细!$A:$N,COLUMN(二次物料明细!J$1),),0)</f>
        <v>0</v>
      </c>
      <c r="R2" s="47">
        <f>IFERROR(VLOOKUP($C2,二次物料明细!$A:$N,COLUMN(二次物料明细!K$1),),0)</f>
        <v>0</v>
      </c>
      <c r="S2" s="47">
        <f>IFERROR(VLOOKUP($C2,二次物料明细!$A:$N,COLUMN(二次物料明细!L$1),),0)</f>
        <v>0</v>
      </c>
      <c r="T2" s="47">
        <f>(R2*90.11+Q2*21.24+S2)/1000</f>
        <v>0</v>
      </c>
      <c r="U2" s="47">
        <f>(P2+T2)*J2</f>
        <v>170</v>
      </c>
      <c r="V2" s="46">
        <f>IFERROR(VLOOKUP($C2,二次物料明细!$A:$N,COLUMN(二次物料明细!M$1),),0)</f>
        <v>0</v>
      </c>
      <c r="W2" s="46" t="str">
        <f>IFERROR(VLOOKUP($C2,二次物料明细!$A:$N,COLUMN(二次物料明细!N$1),),0)</f>
        <v>总成参考价-销售估价</v>
      </c>
      <c r="X2" s="40"/>
    </row>
    <row r="3" spans="1:24">
      <c r="A3" s="42">
        <v>6608523073</v>
      </c>
      <c r="B3" s="42" t="s">
        <v>337</v>
      </c>
      <c r="C3" s="43" t="s">
        <v>364</v>
      </c>
      <c r="D3" s="43" t="s">
        <v>365</v>
      </c>
      <c r="E3" s="43" t="s">
        <v>359</v>
      </c>
      <c r="F3" s="43" t="s">
        <v>366</v>
      </c>
      <c r="G3" s="43"/>
      <c r="H3" s="43"/>
      <c r="I3" s="43"/>
      <c r="J3" s="43">
        <v>1</v>
      </c>
      <c r="K3" s="44" t="s">
        <v>360</v>
      </c>
      <c r="L3" s="43" t="s">
        <v>361</v>
      </c>
      <c r="M3" s="48"/>
      <c r="N3" s="8" t="s">
        <v>363</v>
      </c>
      <c r="O3" s="46" t="str">
        <f>IFERROR(VLOOKUP($C3,二次物料明细!$A:$N,COLUMN(二次物料明细!H$1),),0)</f>
        <v>江苏林</v>
      </c>
      <c r="P3" s="47">
        <f>IFERROR(VLOOKUP($C3,二次物料明细!$A:$N,COLUMN(二次物料明细!I$1),),0)</f>
        <v>0</v>
      </c>
      <c r="Q3" s="47">
        <f>IFERROR(VLOOKUP($C3,二次物料明细!$A:$N,COLUMN(二次物料明细!J$1),),0)</f>
        <v>0</v>
      </c>
      <c r="R3" s="47">
        <f>IFERROR(VLOOKUP($C3,二次物料明细!$A:$N,COLUMN(二次物料明细!K$1),),0)</f>
        <v>0</v>
      </c>
      <c r="S3" s="47">
        <f>IFERROR(VLOOKUP($C3,二次物料明细!$A:$N,COLUMN(二次物料明细!L$1),),0)</f>
        <v>0</v>
      </c>
      <c r="T3" s="47">
        <f t="shared" ref="T3:T34" si="0">(R3*90.11+Q3*21.24+S3)/1000</f>
        <v>0</v>
      </c>
      <c r="U3" s="47">
        <f t="shared" ref="U3:U34" si="1">(P3+T3)*J3</f>
        <v>0</v>
      </c>
      <c r="V3" s="46" t="str">
        <f>IFERROR(VLOOKUP($C3,二次物料明细!$A:$N,COLUMN(二次物料明细!M$1),),0)</f>
        <v>CNY</v>
      </c>
      <c r="W3" s="46" t="str">
        <f>IFERROR(VLOOKUP($C3,二次物料明细!$A:$N,COLUMN(二次物料明细!N$1),),0)</f>
        <v>散件</v>
      </c>
    </row>
    <row r="4" spans="1:24">
      <c r="A4" s="42">
        <v>6608523073</v>
      </c>
      <c r="B4" s="42" t="s">
        <v>337</v>
      </c>
      <c r="C4" s="43" t="s">
        <v>367</v>
      </c>
      <c r="D4" s="43" t="s">
        <v>368</v>
      </c>
      <c r="E4" s="43" t="s">
        <v>359</v>
      </c>
      <c r="F4" s="43" t="s">
        <v>369</v>
      </c>
      <c r="G4" s="43"/>
      <c r="H4" s="43"/>
      <c r="I4" s="43"/>
      <c r="J4" s="43">
        <v>2</v>
      </c>
      <c r="K4" s="44" t="s">
        <v>360</v>
      </c>
      <c r="L4" s="43" t="s">
        <v>361</v>
      </c>
      <c r="M4" s="48"/>
      <c r="N4" s="8" t="s">
        <v>363</v>
      </c>
      <c r="O4" s="46" t="str">
        <f>IFERROR(VLOOKUP($C4,二次物料明细!$A:$N,COLUMN(二次物料明细!H$1),),0)</f>
        <v>江苏林</v>
      </c>
      <c r="P4" s="47">
        <f>IFERROR(VLOOKUP($C4,二次物料明细!$A:$N,COLUMN(二次物料明细!I$1),),0)</f>
        <v>0</v>
      </c>
      <c r="Q4" s="47">
        <f>IFERROR(VLOOKUP($C4,二次物料明细!$A:$N,COLUMN(二次物料明细!J$1),),0)</f>
        <v>0</v>
      </c>
      <c r="R4" s="47">
        <f>IFERROR(VLOOKUP($C4,二次物料明细!$A:$N,COLUMN(二次物料明细!K$1),),0)</f>
        <v>0</v>
      </c>
      <c r="S4" s="47">
        <f>IFERROR(VLOOKUP($C4,二次物料明细!$A:$N,COLUMN(二次物料明细!L$1),),0)</f>
        <v>0</v>
      </c>
      <c r="T4" s="47">
        <f t="shared" si="0"/>
        <v>0</v>
      </c>
      <c r="U4" s="47">
        <f t="shared" si="1"/>
        <v>0</v>
      </c>
      <c r="V4" s="46">
        <f>IFERROR(VLOOKUP($C4,二次物料明细!$A:$N,COLUMN(二次物料明细!M$1),),0)</f>
        <v>0</v>
      </c>
      <c r="W4" s="46" t="str">
        <f>IFERROR(VLOOKUP($C4,二次物料明细!$A:$N,COLUMN(二次物料明细!N$1),),0)</f>
        <v>散件</v>
      </c>
    </row>
    <row r="5" spans="1:24">
      <c r="A5" s="42">
        <v>6608523073</v>
      </c>
      <c r="B5" s="42" t="s">
        <v>337</v>
      </c>
      <c r="C5" s="43" t="s">
        <v>370</v>
      </c>
      <c r="D5" s="43" t="s">
        <v>371</v>
      </c>
      <c r="E5" s="43" t="s">
        <v>359</v>
      </c>
      <c r="F5" s="43" t="s">
        <v>372</v>
      </c>
      <c r="G5" s="43"/>
      <c r="H5" s="43"/>
      <c r="I5" s="43"/>
      <c r="J5" s="43">
        <v>2</v>
      </c>
      <c r="K5" s="44" t="s">
        <v>360</v>
      </c>
      <c r="L5" s="43" t="s">
        <v>361</v>
      </c>
      <c r="M5" s="48"/>
      <c r="N5" s="8" t="s">
        <v>363</v>
      </c>
      <c r="O5" s="46" t="str">
        <f>IFERROR(VLOOKUP($C5,二次物料明细!$A:$N,COLUMN(二次物料明细!H$1),),0)</f>
        <v>江苏林</v>
      </c>
      <c r="P5" s="47">
        <f>IFERROR(VLOOKUP($C5,二次物料明细!$A:$N,COLUMN(二次物料明细!I$1),),0)</f>
        <v>0</v>
      </c>
      <c r="Q5" s="47">
        <f>IFERROR(VLOOKUP($C5,二次物料明细!$A:$N,COLUMN(二次物料明细!J$1),),0)</f>
        <v>0</v>
      </c>
      <c r="R5" s="47">
        <f>IFERROR(VLOOKUP($C5,二次物料明细!$A:$N,COLUMN(二次物料明细!K$1),),0)</f>
        <v>0</v>
      </c>
      <c r="S5" s="47">
        <f>IFERROR(VLOOKUP($C5,二次物料明细!$A:$N,COLUMN(二次物料明细!L$1),),0)</f>
        <v>0</v>
      </c>
      <c r="T5" s="47">
        <f t="shared" si="0"/>
        <v>0</v>
      </c>
      <c r="U5" s="47">
        <f t="shared" si="1"/>
        <v>0</v>
      </c>
      <c r="V5" s="46">
        <f>IFERROR(VLOOKUP($C5,二次物料明细!$A:$N,COLUMN(二次物料明细!M$1),),0)</f>
        <v>0</v>
      </c>
      <c r="W5" s="46" t="str">
        <f>IFERROR(VLOOKUP($C5,二次物料明细!$A:$N,COLUMN(二次物料明细!N$1),),0)</f>
        <v>散件</v>
      </c>
    </row>
    <row r="6" spans="1:24">
      <c r="A6" s="42">
        <v>6608523073</v>
      </c>
      <c r="B6" s="42" t="s">
        <v>337</v>
      </c>
      <c r="C6" s="43" t="s">
        <v>373</v>
      </c>
      <c r="D6" s="43" t="s">
        <v>374</v>
      </c>
      <c r="E6" s="43" t="s">
        <v>359</v>
      </c>
      <c r="F6" s="43" t="s">
        <v>375</v>
      </c>
      <c r="G6" s="43"/>
      <c r="H6" s="43"/>
      <c r="I6" s="43"/>
      <c r="J6" s="43">
        <v>2</v>
      </c>
      <c r="K6" s="44" t="s">
        <v>360</v>
      </c>
      <c r="L6" s="43" t="s">
        <v>361</v>
      </c>
      <c r="M6" s="48"/>
      <c r="N6" s="8" t="s">
        <v>363</v>
      </c>
      <c r="O6" s="46" t="str">
        <f>IFERROR(VLOOKUP($C6,二次物料明细!$A:$N,COLUMN(二次物料明细!H$1),),0)</f>
        <v>江苏林</v>
      </c>
      <c r="P6" s="47">
        <f>IFERROR(VLOOKUP($C6,二次物料明细!$A:$N,COLUMN(二次物料明细!I$1),),0)</f>
        <v>0</v>
      </c>
      <c r="Q6" s="47">
        <f>IFERROR(VLOOKUP($C6,二次物料明细!$A:$N,COLUMN(二次物料明细!J$1),),0)</f>
        <v>0</v>
      </c>
      <c r="R6" s="47">
        <f>IFERROR(VLOOKUP($C6,二次物料明细!$A:$N,COLUMN(二次物料明细!K$1),),0)</f>
        <v>0</v>
      </c>
      <c r="S6" s="47">
        <f>IFERROR(VLOOKUP($C6,二次物料明细!$A:$N,COLUMN(二次物料明细!L$1),),0)</f>
        <v>0</v>
      </c>
      <c r="T6" s="47">
        <f t="shared" si="0"/>
        <v>0</v>
      </c>
      <c r="U6" s="47">
        <f t="shared" si="1"/>
        <v>0</v>
      </c>
      <c r="V6" s="46">
        <f>IFERROR(VLOOKUP($C6,二次物料明细!$A:$N,COLUMN(二次物料明细!M$1),),0)</f>
        <v>0</v>
      </c>
      <c r="W6" s="46" t="str">
        <f>IFERROR(VLOOKUP($C6,二次物料明细!$A:$N,COLUMN(二次物料明细!N$1),),0)</f>
        <v>散件</v>
      </c>
    </row>
    <row r="7" spans="1:24">
      <c r="A7" s="42">
        <v>6608523073</v>
      </c>
      <c r="B7" s="42" t="s">
        <v>337</v>
      </c>
      <c r="C7" s="43" t="s">
        <v>376</v>
      </c>
      <c r="D7" s="43" t="s">
        <v>377</v>
      </c>
      <c r="E7" s="43" t="s">
        <v>359</v>
      </c>
      <c r="F7" s="43" t="s">
        <v>378</v>
      </c>
      <c r="G7" s="43"/>
      <c r="H7" s="43"/>
      <c r="I7" s="43"/>
      <c r="J7" s="43">
        <v>1</v>
      </c>
      <c r="K7" s="44" t="s">
        <v>360</v>
      </c>
      <c r="L7" s="43" t="s">
        <v>361</v>
      </c>
      <c r="M7" s="48"/>
      <c r="N7" s="8" t="s">
        <v>363</v>
      </c>
      <c r="O7" s="46" t="str">
        <f>IFERROR(VLOOKUP($C7,二次物料明细!$A:$N,COLUMN(二次物料明细!H$1),),0)</f>
        <v>江苏林</v>
      </c>
      <c r="P7" s="47">
        <f>IFERROR(VLOOKUP($C7,二次物料明细!$A:$N,COLUMN(二次物料明细!I$1),),0)</f>
        <v>0</v>
      </c>
      <c r="Q7" s="47">
        <f>IFERROR(VLOOKUP($C7,二次物料明细!$A:$N,COLUMN(二次物料明细!J$1),),0)</f>
        <v>0</v>
      </c>
      <c r="R7" s="47">
        <f>IFERROR(VLOOKUP($C7,二次物料明细!$A:$N,COLUMN(二次物料明细!K$1),),0)</f>
        <v>0</v>
      </c>
      <c r="S7" s="47">
        <f>IFERROR(VLOOKUP($C7,二次物料明细!$A:$N,COLUMN(二次物料明细!L$1),),0)</f>
        <v>0</v>
      </c>
      <c r="T7" s="47">
        <f t="shared" si="0"/>
        <v>0</v>
      </c>
      <c r="U7" s="47">
        <f t="shared" si="1"/>
        <v>0</v>
      </c>
      <c r="V7" s="46" t="str">
        <f>IFERROR(VLOOKUP($C7,二次物料明细!$A:$N,COLUMN(二次物料明细!M$1),),0)</f>
        <v>CNY</v>
      </c>
      <c r="W7" s="46" t="str">
        <f>IFERROR(VLOOKUP($C7,二次物料明细!$A:$N,COLUMN(二次物料明细!N$1),),0)</f>
        <v>散件</v>
      </c>
    </row>
    <row r="8" spans="1:24">
      <c r="A8" s="42">
        <v>6608523073</v>
      </c>
      <c r="B8" s="42" t="s">
        <v>337</v>
      </c>
      <c r="C8" s="43" t="s">
        <v>379</v>
      </c>
      <c r="D8" s="43" t="s">
        <v>380</v>
      </c>
      <c r="E8" s="43" t="s">
        <v>359</v>
      </c>
      <c r="F8" s="43" t="s">
        <v>381</v>
      </c>
      <c r="G8" s="43"/>
      <c r="H8" s="43"/>
      <c r="I8" s="43"/>
      <c r="J8" s="43">
        <v>1</v>
      </c>
      <c r="K8" s="44" t="s">
        <v>360</v>
      </c>
      <c r="L8" s="43" t="s">
        <v>361</v>
      </c>
      <c r="M8" s="48"/>
      <c r="N8" s="8" t="s">
        <v>363</v>
      </c>
      <c r="O8" s="46" t="str">
        <f>IFERROR(VLOOKUP($C8,二次物料明细!$A:$N,COLUMN(二次物料明细!H$1),),0)</f>
        <v>江苏林</v>
      </c>
      <c r="P8" s="47">
        <f>IFERROR(VLOOKUP($C8,二次物料明细!$A:$N,COLUMN(二次物料明细!I$1),),0)</f>
        <v>0</v>
      </c>
      <c r="Q8" s="47">
        <f>IFERROR(VLOOKUP($C8,二次物料明细!$A:$N,COLUMN(二次物料明细!J$1),),0)</f>
        <v>0</v>
      </c>
      <c r="R8" s="47">
        <f>IFERROR(VLOOKUP($C8,二次物料明细!$A:$N,COLUMN(二次物料明细!K$1),),0)</f>
        <v>0</v>
      </c>
      <c r="S8" s="47">
        <f>IFERROR(VLOOKUP($C8,二次物料明细!$A:$N,COLUMN(二次物料明细!L$1),),0)</f>
        <v>0</v>
      </c>
      <c r="T8" s="47">
        <f t="shared" si="0"/>
        <v>0</v>
      </c>
      <c r="U8" s="47">
        <f t="shared" si="1"/>
        <v>0</v>
      </c>
      <c r="V8" s="46" t="str">
        <f>IFERROR(VLOOKUP($C8,二次物料明细!$A:$N,COLUMN(二次物料明细!M$1),),0)</f>
        <v>CNY</v>
      </c>
      <c r="W8" s="46" t="str">
        <f>IFERROR(VLOOKUP($C8,二次物料明细!$A:$N,COLUMN(二次物料明细!N$1),),0)</f>
        <v>散件</v>
      </c>
    </row>
    <row r="9" spans="1:24">
      <c r="A9" s="42">
        <v>6608523073</v>
      </c>
      <c r="B9" s="42" t="s">
        <v>337</v>
      </c>
      <c r="C9" s="43" t="s">
        <v>382</v>
      </c>
      <c r="D9" s="43" t="s">
        <v>383</v>
      </c>
      <c r="E9" s="43" t="s">
        <v>359</v>
      </c>
      <c r="F9" s="43" t="s">
        <v>384</v>
      </c>
      <c r="G9" s="43"/>
      <c r="H9" s="43"/>
      <c r="I9" s="43"/>
      <c r="J9" s="43">
        <v>1</v>
      </c>
      <c r="K9" s="44" t="s">
        <v>360</v>
      </c>
      <c r="L9" s="43" t="s">
        <v>361</v>
      </c>
      <c r="M9" s="48"/>
      <c r="N9" s="8" t="s">
        <v>363</v>
      </c>
      <c r="O9" s="46" t="str">
        <f>IFERROR(VLOOKUP($C9,二次物料明细!$A:$N,COLUMN(二次物料明细!H$1),),0)</f>
        <v>江苏林</v>
      </c>
      <c r="P9" s="47">
        <f>IFERROR(VLOOKUP($C9,二次物料明细!$A:$N,COLUMN(二次物料明细!I$1),),0)</f>
        <v>0</v>
      </c>
      <c r="Q9" s="47">
        <f>IFERROR(VLOOKUP($C9,二次物料明细!$A:$N,COLUMN(二次物料明细!J$1),),0)</f>
        <v>0</v>
      </c>
      <c r="R9" s="47">
        <f>IFERROR(VLOOKUP($C9,二次物料明细!$A:$N,COLUMN(二次物料明细!K$1),),0)</f>
        <v>0</v>
      </c>
      <c r="S9" s="47">
        <f>IFERROR(VLOOKUP($C9,二次物料明细!$A:$N,COLUMN(二次物料明细!L$1),),0)</f>
        <v>0</v>
      </c>
      <c r="T9" s="47">
        <f t="shared" si="0"/>
        <v>0</v>
      </c>
      <c r="U9" s="47">
        <f t="shared" si="1"/>
        <v>0</v>
      </c>
      <c r="V9" s="46" t="str">
        <f>IFERROR(VLOOKUP($C9,二次物料明细!$A:$N,COLUMN(二次物料明细!M$1),),0)</f>
        <v>CNY</v>
      </c>
      <c r="W9" s="46" t="str">
        <f>IFERROR(VLOOKUP($C9,二次物料明细!$A:$N,COLUMN(二次物料明细!N$1),),0)</f>
        <v>散件</v>
      </c>
    </row>
    <row r="10" spans="1:24">
      <c r="A10" s="42">
        <v>6608523073</v>
      </c>
      <c r="B10" s="42" t="s">
        <v>337</v>
      </c>
      <c r="C10" s="43" t="s">
        <v>385</v>
      </c>
      <c r="D10" s="43" t="s">
        <v>386</v>
      </c>
      <c r="E10" s="43" t="s">
        <v>359</v>
      </c>
      <c r="F10" s="43" t="s">
        <v>387</v>
      </c>
      <c r="G10" s="43"/>
      <c r="H10" s="43"/>
      <c r="I10" s="43"/>
      <c r="J10" s="43">
        <v>1</v>
      </c>
      <c r="K10" s="44" t="s">
        <v>360</v>
      </c>
      <c r="L10" s="43" t="s">
        <v>361</v>
      </c>
      <c r="M10" s="48"/>
      <c r="N10" s="8" t="s">
        <v>363</v>
      </c>
      <c r="O10" s="46" t="str">
        <f>IFERROR(VLOOKUP($C10,二次物料明细!$A:$N,COLUMN(二次物料明细!H$1),),0)</f>
        <v>江苏林</v>
      </c>
      <c r="P10" s="47">
        <f>IFERROR(VLOOKUP($C10,二次物料明细!$A:$N,COLUMN(二次物料明细!I$1),),0)</f>
        <v>0</v>
      </c>
      <c r="Q10" s="47">
        <f>IFERROR(VLOOKUP($C10,二次物料明细!$A:$N,COLUMN(二次物料明细!J$1),),0)</f>
        <v>0</v>
      </c>
      <c r="R10" s="47">
        <f>IFERROR(VLOOKUP($C10,二次物料明细!$A:$N,COLUMN(二次物料明细!K$1),),0)</f>
        <v>0</v>
      </c>
      <c r="S10" s="47">
        <f>IFERROR(VLOOKUP($C10,二次物料明细!$A:$N,COLUMN(二次物料明细!L$1),),0)</f>
        <v>0</v>
      </c>
      <c r="T10" s="47">
        <f t="shared" si="0"/>
        <v>0</v>
      </c>
      <c r="U10" s="47">
        <f t="shared" si="1"/>
        <v>0</v>
      </c>
      <c r="V10" s="46" t="str">
        <f>IFERROR(VLOOKUP($C10,二次物料明细!$A:$N,COLUMN(二次物料明细!M$1),),0)</f>
        <v>CNY</v>
      </c>
      <c r="W10" s="46" t="str">
        <f>IFERROR(VLOOKUP($C10,二次物料明细!$A:$N,COLUMN(二次物料明细!N$1),),0)</f>
        <v>散件</v>
      </c>
    </row>
    <row r="11" spans="1:24">
      <c r="A11" s="42">
        <v>6608523073</v>
      </c>
      <c r="B11" s="42" t="s">
        <v>337</v>
      </c>
      <c r="C11" s="43" t="s">
        <v>388</v>
      </c>
      <c r="D11" s="43" t="s">
        <v>389</v>
      </c>
      <c r="E11" s="43" t="s">
        <v>359</v>
      </c>
      <c r="F11" s="43" t="s">
        <v>390</v>
      </c>
      <c r="G11" s="43"/>
      <c r="H11" s="43"/>
      <c r="I11" s="43"/>
      <c r="J11" s="43">
        <v>1</v>
      </c>
      <c r="K11" s="44" t="s">
        <v>360</v>
      </c>
      <c r="L11" s="43" t="s">
        <v>361</v>
      </c>
      <c r="M11" s="48"/>
      <c r="N11" s="8" t="s">
        <v>363</v>
      </c>
      <c r="O11" s="46" t="str">
        <f>IFERROR(VLOOKUP($C11,二次物料明细!$A:$N,COLUMN(二次物料明细!H$1),),0)</f>
        <v>江苏林</v>
      </c>
      <c r="P11" s="47">
        <f>IFERROR(VLOOKUP($C11,二次物料明细!$A:$N,COLUMN(二次物料明细!I$1),),0)</f>
        <v>0</v>
      </c>
      <c r="Q11" s="47">
        <f>IFERROR(VLOOKUP($C11,二次物料明细!$A:$N,COLUMN(二次物料明细!J$1),),0)</f>
        <v>0</v>
      </c>
      <c r="R11" s="47">
        <f>IFERROR(VLOOKUP($C11,二次物料明细!$A:$N,COLUMN(二次物料明细!K$1),),0)</f>
        <v>0</v>
      </c>
      <c r="S11" s="47">
        <f>IFERROR(VLOOKUP($C11,二次物料明细!$A:$N,COLUMN(二次物料明细!L$1),),0)</f>
        <v>0</v>
      </c>
      <c r="T11" s="47">
        <f t="shared" si="0"/>
        <v>0</v>
      </c>
      <c r="U11" s="47">
        <f t="shared" si="1"/>
        <v>0</v>
      </c>
      <c r="V11" s="46">
        <f>IFERROR(VLOOKUP($C11,二次物料明细!$A:$N,COLUMN(二次物料明细!M$1),),0)</f>
        <v>0</v>
      </c>
      <c r="W11" s="46" t="str">
        <f>IFERROR(VLOOKUP($C11,二次物料明细!$A:$N,COLUMN(二次物料明细!N$1),),0)</f>
        <v>散件</v>
      </c>
    </row>
    <row r="12" spans="1:24">
      <c r="A12" s="42">
        <v>6608523073</v>
      </c>
      <c r="B12" s="42" t="s">
        <v>337</v>
      </c>
      <c r="C12" s="43" t="s">
        <v>391</v>
      </c>
      <c r="D12" s="43" t="s">
        <v>392</v>
      </c>
      <c r="E12" s="43" t="s">
        <v>359</v>
      </c>
      <c r="F12" s="43" t="s">
        <v>393</v>
      </c>
      <c r="G12" s="43"/>
      <c r="H12" s="43"/>
      <c r="I12" s="43"/>
      <c r="J12" s="43">
        <v>1</v>
      </c>
      <c r="K12" s="44" t="s">
        <v>360</v>
      </c>
      <c r="L12" s="43" t="s">
        <v>361</v>
      </c>
      <c r="M12" s="48"/>
      <c r="N12" s="8" t="s">
        <v>363</v>
      </c>
      <c r="O12" s="46" t="str">
        <f>IFERROR(VLOOKUP($C12,二次物料明细!$A:$N,COLUMN(二次物料明细!H$1),),0)</f>
        <v>江苏林</v>
      </c>
      <c r="P12" s="47">
        <f>IFERROR(VLOOKUP($C12,二次物料明细!$A:$N,COLUMN(二次物料明细!I$1),),0)</f>
        <v>0</v>
      </c>
      <c r="Q12" s="47">
        <f>IFERROR(VLOOKUP($C12,二次物料明细!$A:$N,COLUMN(二次物料明细!J$1),),0)</f>
        <v>0</v>
      </c>
      <c r="R12" s="47">
        <f>IFERROR(VLOOKUP($C12,二次物料明细!$A:$N,COLUMN(二次物料明细!K$1),),0)</f>
        <v>0</v>
      </c>
      <c r="S12" s="47">
        <f>IFERROR(VLOOKUP($C12,二次物料明细!$A:$N,COLUMN(二次物料明细!L$1),),0)</f>
        <v>0</v>
      </c>
      <c r="T12" s="47">
        <f t="shared" si="0"/>
        <v>0</v>
      </c>
      <c r="U12" s="47">
        <f t="shared" si="1"/>
        <v>0</v>
      </c>
      <c r="V12" s="46">
        <f>IFERROR(VLOOKUP($C12,二次物料明细!$A:$N,COLUMN(二次物料明细!M$1),),0)</f>
        <v>0</v>
      </c>
      <c r="W12" s="46" t="str">
        <f>IFERROR(VLOOKUP($C12,二次物料明细!$A:$N,COLUMN(二次物料明细!N$1),),0)</f>
        <v>散件</v>
      </c>
    </row>
    <row r="13" spans="1:24">
      <c r="A13" s="42">
        <v>6608523073</v>
      </c>
      <c r="B13" s="42" t="s">
        <v>337</v>
      </c>
      <c r="C13" s="43" t="s">
        <v>394</v>
      </c>
      <c r="D13" s="43" t="s">
        <v>395</v>
      </c>
      <c r="E13" s="43" t="s">
        <v>359</v>
      </c>
      <c r="F13" s="43" t="s">
        <v>396</v>
      </c>
      <c r="G13" s="43"/>
      <c r="H13" s="43"/>
      <c r="I13" s="43"/>
      <c r="J13" s="43">
        <v>3</v>
      </c>
      <c r="K13" s="44" t="s">
        <v>360</v>
      </c>
      <c r="L13" s="43" t="s">
        <v>361</v>
      </c>
      <c r="M13" s="48"/>
      <c r="N13" s="8" t="s">
        <v>363</v>
      </c>
      <c r="O13" s="46" t="str">
        <f>IFERROR(VLOOKUP($C13,二次物料明细!$A:$N,COLUMN(二次物料明细!H$1),),0)</f>
        <v>江苏林</v>
      </c>
      <c r="P13" s="47">
        <f>IFERROR(VLOOKUP($C13,二次物料明细!$A:$N,COLUMN(二次物料明细!I$1),),0)</f>
        <v>0</v>
      </c>
      <c r="Q13" s="47">
        <f>IFERROR(VLOOKUP($C13,二次物料明细!$A:$N,COLUMN(二次物料明细!J$1),),0)</f>
        <v>0</v>
      </c>
      <c r="R13" s="47">
        <f>IFERROR(VLOOKUP($C13,二次物料明细!$A:$N,COLUMN(二次物料明细!K$1),),0)</f>
        <v>0</v>
      </c>
      <c r="S13" s="47">
        <f>IFERROR(VLOOKUP($C13,二次物料明细!$A:$N,COLUMN(二次物料明细!L$1),),0)</f>
        <v>0</v>
      </c>
      <c r="T13" s="47">
        <f t="shared" si="0"/>
        <v>0</v>
      </c>
      <c r="U13" s="47">
        <f t="shared" si="1"/>
        <v>0</v>
      </c>
      <c r="V13" s="46" t="str">
        <f>IFERROR(VLOOKUP($C13,二次物料明细!$A:$N,COLUMN(二次物料明细!M$1),),0)</f>
        <v>CNY</v>
      </c>
      <c r="W13" s="46" t="str">
        <f>IFERROR(VLOOKUP($C13,二次物料明细!$A:$N,COLUMN(二次物料明细!N$1),),0)</f>
        <v>散件</v>
      </c>
    </row>
    <row r="14" spans="1:24">
      <c r="A14" s="42">
        <v>6608523073</v>
      </c>
      <c r="B14" s="42" t="s">
        <v>337</v>
      </c>
      <c r="C14" s="43" t="s">
        <v>397</v>
      </c>
      <c r="D14" s="43" t="s">
        <v>398</v>
      </c>
      <c r="E14" s="43" t="s">
        <v>359</v>
      </c>
      <c r="F14" s="43" t="s">
        <v>399</v>
      </c>
      <c r="G14" s="43"/>
      <c r="H14" s="43"/>
      <c r="I14" s="43"/>
      <c r="J14" s="43">
        <v>3</v>
      </c>
      <c r="K14" s="44" t="s">
        <v>360</v>
      </c>
      <c r="L14" s="43" t="s">
        <v>361</v>
      </c>
      <c r="M14" s="48"/>
      <c r="N14" s="8" t="s">
        <v>363</v>
      </c>
      <c r="O14" s="46" t="str">
        <f>IFERROR(VLOOKUP($C14,二次物料明细!$A:$N,COLUMN(二次物料明细!H$1),),0)</f>
        <v>江苏林</v>
      </c>
      <c r="P14" s="47">
        <f>IFERROR(VLOOKUP($C14,二次物料明细!$A:$N,COLUMN(二次物料明细!I$1),),0)</f>
        <v>0</v>
      </c>
      <c r="Q14" s="47">
        <f>IFERROR(VLOOKUP($C14,二次物料明细!$A:$N,COLUMN(二次物料明细!J$1),),0)</f>
        <v>0</v>
      </c>
      <c r="R14" s="47">
        <f>IFERROR(VLOOKUP($C14,二次物料明细!$A:$N,COLUMN(二次物料明细!K$1),),0)</f>
        <v>0</v>
      </c>
      <c r="S14" s="47">
        <f>IFERROR(VLOOKUP($C14,二次物料明细!$A:$N,COLUMN(二次物料明细!L$1),),0)</f>
        <v>0</v>
      </c>
      <c r="T14" s="47">
        <f t="shared" si="0"/>
        <v>0</v>
      </c>
      <c r="U14" s="47">
        <f t="shared" si="1"/>
        <v>0</v>
      </c>
      <c r="V14" s="46" t="str">
        <f>IFERROR(VLOOKUP($C14,二次物料明细!$A:$N,COLUMN(二次物料明细!M$1),),0)</f>
        <v>CNY</v>
      </c>
      <c r="W14" s="46" t="str">
        <f>IFERROR(VLOOKUP($C14,二次物料明细!$A:$N,COLUMN(二次物料明细!N$1),),0)</f>
        <v>散件</v>
      </c>
    </row>
    <row r="15" spans="1:24">
      <c r="A15" s="42">
        <v>6608523073</v>
      </c>
      <c r="B15" s="42" t="s">
        <v>337</v>
      </c>
      <c r="C15" s="43" t="s">
        <v>400</v>
      </c>
      <c r="D15" s="43" t="s">
        <v>401</v>
      </c>
      <c r="E15" s="43" t="s">
        <v>359</v>
      </c>
      <c r="F15" s="43"/>
      <c r="G15" s="43"/>
      <c r="H15" s="43"/>
      <c r="I15" s="43"/>
      <c r="J15" s="43">
        <v>1</v>
      </c>
      <c r="K15" s="44" t="s">
        <v>360</v>
      </c>
      <c r="L15" s="43" t="s">
        <v>361</v>
      </c>
      <c r="M15" s="48"/>
      <c r="N15" s="8" t="s">
        <v>363</v>
      </c>
      <c r="O15" s="46" t="str">
        <f>IFERROR(VLOOKUP($C15,二次物料明细!$A:$N,COLUMN(二次物料明细!H$1),),0)</f>
        <v>江苏林</v>
      </c>
      <c r="P15" s="47">
        <f>IFERROR(VLOOKUP($C15,二次物料明细!$A:$N,COLUMN(二次物料明细!I$1),),0)</f>
        <v>0</v>
      </c>
      <c r="Q15" s="47">
        <f>IFERROR(VLOOKUP($C15,二次物料明细!$A:$N,COLUMN(二次物料明细!J$1),),0)</f>
        <v>0</v>
      </c>
      <c r="R15" s="47">
        <f>IFERROR(VLOOKUP($C15,二次物料明细!$A:$N,COLUMN(二次物料明细!K$1),),0)</f>
        <v>0</v>
      </c>
      <c r="S15" s="47">
        <f>IFERROR(VLOOKUP($C15,二次物料明细!$A:$N,COLUMN(二次物料明细!L$1),),0)</f>
        <v>0</v>
      </c>
      <c r="T15" s="47">
        <f t="shared" si="0"/>
        <v>0</v>
      </c>
      <c r="U15" s="47">
        <f t="shared" si="1"/>
        <v>0</v>
      </c>
      <c r="V15" s="46">
        <f>IFERROR(VLOOKUP($C15,二次物料明细!$A:$N,COLUMN(二次物料明细!M$1),),0)</f>
        <v>0</v>
      </c>
      <c r="W15" s="46" t="str">
        <f>IFERROR(VLOOKUP($C15,二次物料明细!$A:$N,COLUMN(二次物料明细!N$1),),0)</f>
        <v>散件</v>
      </c>
      <c r="X15" s="34"/>
    </row>
    <row r="16" spans="1:24">
      <c r="A16" s="42">
        <v>6608523073</v>
      </c>
      <c r="B16" s="42" t="s">
        <v>337</v>
      </c>
      <c r="C16" s="43" t="s">
        <v>402</v>
      </c>
      <c r="D16" s="43" t="s">
        <v>403</v>
      </c>
      <c r="E16" s="43" t="s">
        <v>359</v>
      </c>
      <c r="F16" s="43" t="s">
        <v>404</v>
      </c>
      <c r="G16" s="43"/>
      <c r="H16" s="43"/>
      <c r="I16" s="43"/>
      <c r="J16" s="43">
        <v>2</v>
      </c>
      <c r="K16" s="44" t="s">
        <v>360</v>
      </c>
      <c r="L16" s="43" t="s">
        <v>361</v>
      </c>
      <c r="M16" s="49"/>
      <c r="N16" s="8" t="s">
        <v>363</v>
      </c>
      <c r="O16" s="46" t="str">
        <f>IFERROR(VLOOKUP($C16,二次物料明细!$A:$N,COLUMN(二次物料明细!H$1),),0)</f>
        <v>江苏林</v>
      </c>
      <c r="P16" s="47">
        <f>IFERROR(VLOOKUP($C16,二次物料明细!$A:$N,COLUMN(二次物料明细!I$1),),0)</f>
        <v>0</v>
      </c>
      <c r="Q16" s="47">
        <f>IFERROR(VLOOKUP($C16,二次物料明细!$A:$N,COLUMN(二次物料明细!J$1),),0)</f>
        <v>0</v>
      </c>
      <c r="R16" s="47">
        <f>IFERROR(VLOOKUP($C16,二次物料明细!$A:$N,COLUMN(二次物料明细!K$1),),0)</f>
        <v>0</v>
      </c>
      <c r="S16" s="47">
        <f>IFERROR(VLOOKUP($C16,二次物料明细!$A:$N,COLUMN(二次物料明细!L$1),),0)</f>
        <v>0</v>
      </c>
      <c r="T16" s="47">
        <f t="shared" si="0"/>
        <v>0</v>
      </c>
      <c r="U16" s="47">
        <f t="shared" si="1"/>
        <v>0</v>
      </c>
      <c r="V16" s="46">
        <f>IFERROR(VLOOKUP($C16,二次物料明细!$A:$N,COLUMN(二次物料明细!M$1),),0)</f>
        <v>0</v>
      </c>
      <c r="W16" s="46" t="str">
        <f>IFERROR(VLOOKUP($C16,二次物料明细!$A:$N,COLUMN(二次物料明细!N$1),),0)</f>
        <v>散件</v>
      </c>
      <c r="X16" s="34"/>
    </row>
    <row r="17" spans="1:24">
      <c r="A17" s="42">
        <v>6608523073</v>
      </c>
      <c r="B17" s="42" t="s">
        <v>337</v>
      </c>
      <c r="C17" s="50" t="s">
        <v>405</v>
      </c>
      <c r="D17" s="50" t="s">
        <v>406</v>
      </c>
      <c r="E17" s="44" t="s">
        <v>359</v>
      </c>
      <c r="F17" s="51" t="s">
        <v>407</v>
      </c>
      <c r="G17" s="44"/>
      <c r="H17" s="44"/>
      <c r="I17" s="44"/>
      <c r="J17" s="50">
        <v>1</v>
      </c>
      <c r="K17" s="44" t="s">
        <v>360</v>
      </c>
      <c r="L17" s="51" t="s">
        <v>408</v>
      </c>
      <c r="M17" s="45" t="s">
        <v>409</v>
      </c>
      <c r="N17" s="30" t="s">
        <v>363</v>
      </c>
      <c r="O17" s="52" t="str">
        <f>IFERROR(VLOOKUP($C17,二次物料明细!$A:$N,COLUMN(二次物料明细!H$1),),0)</f>
        <v>胡继燕</v>
      </c>
      <c r="P17" s="41">
        <f>IFERROR(VLOOKUP($C17,二次物料明细!$A:$N,COLUMN(二次物料明细!I$1),),0)</f>
        <v>24</v>
      </c>
      <c r="Q17" s="41">
        <f>IFERROR(VLOOKUP($C17,二次物料明细!$A:$N,COLUMN(二次物料明细!J$1),),0)</f>
        <v>0</v>
      </c>
      <c r="R17" s="41">
        <f>IFERROR(VLOOKUP($C17,二次物料明细!$A:$N,COLUMN(二次物料明细!K$1),),0)</f>
        <v>0</v>
      </c>
      <c r="S17" s="41">
        <f>IFERROR(VLOOKUP($C17,二次物料明细!$A:$N,COLUMN(二次物料明细!L$1),),0)</f>
        <v>0</v>
      </c>
      <c r="T17" s="53">
        <f t="shared" si="0"/>
        <v>0</v>
      </c>
      <c r="U17" s="47">
        <f t="shared" si="1"/>
        <v>24</v>
      </c>
      <c r="V17" s="52">
        <f>IFERROR(VLOOKUP($C17,二次物料明细!$A:$N,COLUMN(二次物料明细!M$1),),0)</f>
        <v>0</v>
      </c>
      <c r="W17" s="52" t="str">
        <f>IFERROR(VLOOKUP($C17,二次物料明细!$A:$N,COLUMN(二次物料明细!N$1),),0)</f>
        <v>总成参考价</v>
      </c>
    </row>
    <row r="18" spans="1:24">
      <c r="A18" s="42">
        <v>6608523073</v>
      </c>
      <c r="B18" s="42" t="s">
        <v>337</v>
      </c>
      <c r="C18" s="50" t="s">
        <v>410</v>
      </c>
      <c r="D18" s="50" t="s">
        <v>411</v>
      </c>
      <c r="E18" s="44" t="s">
        <v>359</v>
      </c>
      <c r="F18" s="51" t="s">
        <v>412</v>
      </c>
      <c r="G18" s="44"/>
      <c r="H18" s="44"/>
      <c r="I18" s="44"/>
      <c r="J18" s="50">
        <v>2</v>
      </c>
      <c r="K18" s="44" t="s">
        <v>360</v>
      </c>
      <c r="L18" s="51" t="s">
        <v>408</v>
      </c>
      <c r="M18" s="48"/>
      <c r="N18" s="30" t="s">
        <v>363</v>
      </c>
      <c r="O18" s="52" t="str">
        <f>IFERROR(VLOOKUP($C18,二次物料明细!$A:$N,COLUMN(二次物料明细!H$1),),0)</f>
        <v>胡继燕</v>
      </c>
      <c r="P18" s="41">
        <f>IFERROR(VLOOKUP($C18,二次物料明细!$A:$N,COLUMN(二次物料明细!I$1),),0)</f>
        <v>0</v>
      </c>
      <c r="Q18" s="41">
        <f>IFERROR(VLOOKUP($C18,二次物料明细!$A:$N,COLUMN(二次物料明细!J$1),),0)</f>
        <v>0</v>
      </c>
      <c r="R18" s="41">
        <f>IFERROR(VLOOKUP($C18,二次物料明细!$A:$N,COLUMN(二次物料明细!K$1),),0)</f>
        <v>0</v>
      </c>
      <c r="S18" s="41">
        <f>IFERROR(VLOOKUP($C18,二次物料明细!$A:$N,COLUMN(二次物料明细!L$1),),0)</f>
        <v>0</v>
      </c>
      <c r="T18" s="53">
        <f t="shared" si="0"/>
        <v>0</v>
      </c>
      <c r="U18" s="53">
        <f t="shared" si="1"/>
        <v>0</v>
      </c>
      <c r="V18" s="52">
        <f>IFERROR(VLOOKUP($C18,二次物料明细!$A:$N,COLUMN(二次物料明细!M$1),),0)</f>
        <v>0</v>
      </c>
      <c r="W18" s="52" t="str">
        <f>IFERROR(VLOOKUP($C18,二次物料明细!$A:$N,COLUMN(二次物料明细!N$1),),0)</f>
        <v>散件</v>
      </c>
    </row>
    <row r="19" spans="1:24">
      <c r="A19" s="42">
        <v>6608523073</v>
      </c>
      <c r="B19" s="42" t="s">
        <v>337</v>
      </c>
      <c r="C19" s="50" t="s">
        <v>413</v>
      </c>
      <c r="D19" s="50" t="s">
        <v>414</v>
      </c>
      <c r="E19" s="44" t="s">
        <v>359</v>
      </c>
      <c r="F19" s="51" t="s">
        <v>415</v>
      </c>
      <c r="G19" s="44"/>
      <c r="H19" s="44"/>
      <c r="I19" s="44"/>
      <c r="J19" s="50">
        <v>2</v>
      </c>
      <c r="K19" s="44" t="s">
        <v>360</v>
      </c>
      <c r="L19" s="51" t="s">
        <v>408</v>
      </c>
      <c r="M19" s="48"/>
      <c r="N19" s="30" t="s">
        <v>363</v>
      </c>
      <c r="O19" s="52" t="str">
        <f>IFERROR(VLOOKUP($C19,二次物料明细!$A:$N,COLUMN(二次物料明细!H$1),),0)</f>
        <v>胡继燕</v>
      </c>
      <c r="P19" s="41">
        <f>IFERROR(VLOOKUP($C19,二次物料明细!$A:$N,COLUMN(二次物料明细!I$1),),0)</f>
        <v>0</v>
      </c>
      <c r="Q19" s="41">
        <f>IFERROR(VLOOKUP($C19,二次物料明细!$A:$N,COLUMN(二次物料明细!J$1),),0)</f>
        <v>0</v>
      </c>
      <c r="R19" s="41">
        <f>IFERROR(VLOOKUP($C19,二次物料明细!$A:$N,COLUMN(二次物料明细!K$1),),0)</f>
        <v>0</v>
      </c>
      <c r="S19" s="41">
        <f>IFERROR(VLOOKUP($C19,二次物料明细!$A:$N,COLUMN(二次物料明细!L$1),),0)</f>
        <v>0</v>
      </c>
      <c r="T19" s="53">
        <f t="shared" si="0"/>
        <v>0</v>
      </c>
      <c r="U19" s="53">
        <f t="shared" si="1"/>
        <v>0</v>
      </c>
      <c r="V19" s="52">
        <f>IFERROR(VLOOKUP($C19,二次物料明细!$A:$N,COLUMN(二次物料明细!M$1),),0)</f>
        <v>0</v>
      </c>
      <c r="W19" s="52" t="str">
        <f>IFERROR(VLOOKUP($C19,二次物料明细!$A:$N,COLUMN(二次物料明细!N$1),),0)</f>
        <v>散件</v>
      </c>
      <c r="X19" s="34"/>
    </row>
    <row r="20" spans="1:24">
      <c r="A20" s="42">
        <v>6608523073</v>
      </c>
      <c r="B20" s="42" t="s">
        <v>337</v>
      </c>
      <c r="C20" s="50" t="s">
        <v>416</v>
      </c>
      <c r="D20" s="50" t="s">
        <v>417</v>
      </c>
      <c r="E20" s="44" t="s">
        <v>359</v>
      </c>
      <c r="F20" s="51" t="s">
        <v>418</v>
      </c>
      <c r="G20" s="44"/>
      <c r="H20" s="44"/>
      <c r="I20" s="44"/>
      <c r="J20" s="50">
        <v>2</v>
      </c>
      <c r="K20" s="44" t="s">
        <v>360</v>
      </c>
      <c r="L20" s="51" t="s">
        <v>408</v>
      </c>
      <c r="M20" s="48"/>
      <c r="N20" s="30" t="s">
        <v>363</v>
      </c>
      <c r="O20" s="52" t="str">
        <f>IFERROR(VLOOKUP($C20,二次物料明细!$A:$N,COLUMN(二次物料明细!H$1),),0)</f>
        <v>胡继燕</v>
      </c>
      <c r="P20" s="41">
        <f>IFERROR(VLOOKUP($C20,二次物料明细!$A:$N,COLUMN(二次物料明细!I$1),),0)</f>
        <v>0</v>
      </c>
      <c r="Q20" s="41">
        <f>IFERROR(VLOOKUP($C20,二次物料明细!$A:$N,COLUMN(二次物料明细!J$1),),0)</f>
        <v>0</v>
      </c>
      <c r="R20" s="41">
        <f>IFERROR(VLOOKUP($C20,二次物料明细!$A:$N,COLUMN(二次物料明细!K$1),),0)</f>
        <v>0</v>
      </c>
      <c r="S20" s="41">
        <f>IFERROR(VLOOKUP($C20,二次物料明细!$A:$N,COLUMN(二次物料明细!L$1),),0)</f>
        <v>0</v>
      </c>
      <c r="T20" s="53">
        <f t="shared" si="0"/>
        <v>0</v>
      </c>
      <c r="U20" s="53">
        <f t="shared" si="1"/>
        <v>0</v>
      </c>
      <c r="V20" s="52">
        <f>IFERROR(VLOOKUP($C20,二次物料明细!$A:$N,COLUMN(二次物料明细!M$1),),0)</f>
        <v>0</v>
      </c>
      <c r="W20" s="52" t="str">
        <f>IFERROR(VLOOKUP($C20,二次物料明细!$A:$N,COLUMN(二次物料明细!N$1),),0)</f>
        <v>散件</v>
      </c>
      <c r="X20" s="34"/>
    </row>
    <row r="21" spans="1:24">
      <c r="A21" s="42">
        <v>6608523073</v>
      </c>
      <c r="B21" s="42" t="s">
        <v>337</v>
      </c>
      <c r="C21" s="50" t="s">
        <v>419</v>
      </c>
      <c r="D21" s="50" t="s">
        <v>420</v>
      </c>
      <c r="E21" s="44" t="s">
        <v>359</v>
      </c>
      <c r="F21" s="51" t="s">
        <v>421</v>
      </c>
      <c r="G21" s="44"/>
      <c r="H21" s="44"/>
      <c r="I21" s="44"/>
      <c r="J21" s="50">
        <v>2</v>
      </c>
      <c r="K21" s="44" t="s">
        <v>360</v>
      </c>
      <c r="L21" s="51" t="s">
        <v>408</v>
      </c>
      <c r="M21" s="48"/>
      <c r="N21" s="30" t="s">
        <v>363</v>
      </c>
      <c r="O21" s="52" t="str">
        <f>IFERROR(VLOOKUP($C21,二次物料明细!$A:$N,COLUMN(二次物料明细!H$1),),0)</f>
        <v>胡继燕</v>
      </c>
      <c r="P21" s="41">
        <f>IFERROR(VLOOKUP($C21,二次物料明细!$A:$N,COLUMN(二次物料明细!I$1),),0)</f>
        <v>0</v>
      </c>
      <c r="Q21" s="41">
        <f>IFERROR(VLOOKUP($C21,二次物料明细!$A:$N,COLUMN(二次物料明细!J$1),),0)</f>
        <v>0</v>
      </c>
      <c r="R21" s="41">
        <f>IFERROR(VLOOKUP($C21,二次物料明细!$A:$N,COLUMN(二次物料明细!K$1),),0)</f>
        <v>0</v>
      </c>
      <c r="S21" s="41">
        <f>IFERROR(VLOOKUP($C21,二次物料明细!$A:$N,COLUMN(二次物料明细!L$1),),0)</f>
        <v>0</v>
      </c>
      <c r="T21" s="53">
        <f t="shared" si="0"/>
        <v>0</v>
      </c>
      <c r="U21" s="53">
        <f t="shared" si="1"/>
        <v>0</v>
      </c>
      <c r="V21" s="52">
        <f>IFERROR(VLOOKUP($C21,二次物料明细!$A:$N,COLUMN(二次物料明细!M$1),),0)</f>
        <v>0</v>
      </c>
      <c r="W21" s="52" t="str">
        <f>IFERROR(VLOOKUP($C21,二次物料明细!$A:$N,COLUMN(二次物料明细!N$1),),0)</f>
        <v>散件</v>
      </c>
      <c r="X21" s="34"/>
    </row>
    <row r="22" spans="1:24">
      <c r="A22" s="42">
        <v>6608523073</v>
      </c>
      <c r="B22" s="42" t="s">
        <v>337</v>
      </c>
      <c r="C22" s="50" t="s">
        <v>422</v>
      </c>
      <c r="D22" s="50" t="s">
        <v>423</v>
      </c>
      <c r="E22" s="44" t="s">
        <v>359</v>
      </c>
      <c r="F22" s="51" t="s">
        <v>424</v>
      </c>
      <c r="G22" s="44"/>
      <c r="H22" s="44"/>
      <c r="I22" s="44"/>
      <c r="J22" s="50">
        <v>2</v>
      </c>
      <c r="K22" s="44" t="s">
        <v>360</v>
      </c>
      <c r="L22" s="51" t="s">
        <v>408</v>
      </c>
      <c r="M22" s="49"/>
      <c r="N22" s="30" t="s">
        <v>363</v>
      </c>
      <c r="O22" s="52" t="str">
        <f>IFERROR(VLOOKUP($C22,二次物料明细!$A:$N,COLUMN(二次物料明细!H$1),),0)</f>
        <v>胡继燕</v>
      </c>
      <c r="P22" s="41">
        <f>IFERROR(VLOOKUP($C22,二次物料明细!$A:$N,COLUMN(二次物料明细!I$1),),0)</f>
        <v>0</v>
      </c>
      <c r="Q22" s="41">
        <f>IFERROR(VLOOKUP($C22,二次物料明细!$A:$N,COLUMN(二次物料明细!J$1),),0)</f>
        <v>0</v>
      </c>
      <c r="R22" s="41">
        <f>IFERROR(VLOOKUP($C22,二次物料明细!$A:$N,COLUMN(二次物料明细!K$1),),0)</f>
        <v>0</v>
      </c>
      <c r="S22" s="41">
        <f>IFERROR(VLOOKUP($C22,二次物料明细!$A:$N,COLUMN(二次物料明细!L$1),),0)</f>
        <v>0</v>
      </c>
      <c r="T22" s="53">
        <f t="shared" si="0"/>
        <v>0</v>
      </c>
      <c r="U22" s="53">
        <f t="shared" si="1"/>
        <v>0</v>
      </c>
      <c r="V22" s="52">
        <f>IFERROR(VLOOKUP($C22,二次物料明细!$A:$N,COLUMN(二次物料明细!M$1),),0)</f>
        <v>0</v>
      </c>
      <c r="W22" s="52" t="str">
        <f>IFERROR(VLOOKUP($C22,二次物料明细!$A:$N,COLUMN(二次物料明细!N$1),),0)</f>
        <v>散件</v>
      </c>
      <c r="X22" s="34"/>
    </row>
    <row r="23" ht="46.8" spans="1:24">
      <c r="A23" s="42">
        <v>6608523073</v>
      </c>
      <c r="B23" s="42" t="s">
        <v>337</v>
      </c>
      <c r="C23" s="50" t="s">
        <v>425</v>
      </c>
      <c r="D23" s="50" t="s">
        <v>426</v>
      </c>
      <c r="E23" s="44" t="s">
        <v>359</v>
      </c>
      <c r="F23" s="51"/>
      <c r="G23" s="44"/>
      <c r="H23" s="44"/>
      <c r="I23" s="44"/>
      <c r="J23" s="50">
        <v>1</v>
      </c>
      <c r="K23" s="44" t="s">
        <v>427</v>
      </c>
      <c r="L23" s="51" t="s">
        <v>408</v>
      </c>
      <c r="M23" s="45" t="s">
        <v>428</v>
      </c>
      <c r="N23" s="8" t="s">
        <v>363</v>
      </c>
      <c r="O23" s="46" t="str">
        <f>IFERROR(VLOOKUP($C23,二次物料明细!$A:$N,COLUMN(二次物料明细!H$1),),0)</f>
        <v>胡继燕</v>
      </c>
      <c r="P23" s="47">
        <f>IFERROR(VLOOKUP($C23,二次物料明细!$A:$N,COLUMN(二次物料明细!I$1),),0)</f>
        <v>10</v>
      </c>
      <c r="Q23" s="47">
        <f>IFERROR(VLOOKUP($C23,二次物料明细!$A:$N,COLUMN(二次物料明细!J$1),),0)</f>
        <v>0</v>
      </c>
      <c r="R23" s="47">
        <f>IFERROR(VLOOKUP($C23,二次物料明细!$A:$N,COLUMN(二次物料明细!K$1),),0)</f>
        <v>0</v>
      </c>
      <c r="S23" s="47">
        <f>IFERROR(VLOOKUP($C23,二次物料明细!$A:$N,COLUMN(二次物料明细!L$1),),0)</f>
        <v>0</v>
      </c>
      <c r="T23" s="47">
        <f t="shared" si="0"/>
        <v>0</v>
      </c>
      <c r="U23" s="47">
        <f t="shared" si="1"/>
        <v>10</v>
      </c>
      <c r="V23" s="46">
        <f>IFERROR(VLOOKUP($C23,二次物料明细!$A:$N,COLUMN(二次物料明细!M$1),),0)</f>
        <v>0</v>
      </c>
      <c r="W23" s="46" t="str">
        <f>IFERROR(VLOOKUP($C23,二次物料明细!$A:$N,COLUMN(二次物料明细!N$1),),0)</f>
        <v>总成参考价</v>
      </c>
    </row>
    <row r="24" spans="1:24">
      <c r="A24" s="42">
        <v>6608523073</v>
      </c>
      <c r="B24" s="42" t="s">
        <v>337</v>
      </c>
      <c r="C24" s="50" t="s">
        <v>429</v>
      </c>
      <c r="D24" s="50" t="s">
        <v>406</v>
      </c>
      <c r="E24" s="44" t="s">
        <v>359</v>
      </c>
      <c r="F24" s="51" t="s">
        <v>430</v>
      </c>
      <c r="G24" s="44"/>
      <c r="H24" s="44"/>
      <c r="I24" s="44"/>
      <c r="J24" s="50">
        <v>1</v>
      </c>
      <c r="K24" s="44" t="s">
        <v>360</v>
      </c>
      <c r="L24" s="51" t="s">
        <v>431</v>
      </c>
      <c r="M24" s="45" t="s">
        <v>432</v>
      </c>
      <c r="N24" s="8" t="s">
        <v>363</v>
      </c>
      <c r="O24" s="46" t="str">
        <f>IFERROR(VLOOKUP($C24,二次物料明细!$A:$N,COLUMN(二次物料明细!H$1),),0)</f>
        <v>洪巧明</v>
      </c>
      <c r="P24" s="47">
        <f>IFERROR(VLOOKUP($C24,二次物料明细!$A:$N,COLUMN(二次物料明细!I$1),),0)</f>
        <v>1.5</v>
      </c>
      <c r="Q24" s="47">
        <f>IFERROR(VLOOKUP($C24,二次物料明细!$A:$N,COLUMN(二次物料明细!J$1),),0)</f>
        <v>0</v>
      </c>
      <c r="R24" s="47">
        <f>IFERROR(VLOOKUP($C24,二次物料明细!$A:$N,COLUMN(二次物料明细!K$1),),0)</f>
        <v>0</v>
      </c>
      <c r="S24" s="47">
        <f>IFERROR(VLOOKUP($C24,二次物料明细!$A:$N,COLUMN(二次物料明细!L$1),),0)</f>
        <v>0</v>
      </c>
      <c r="T24" s="47">
        <f t="shared" si="0"/>
        <v>0</v>
      </c>
      <c r="U24" s="47">
        <f t="shared" si="1"/>
        <v>1.5</v>
      </c>
      <c r="V24" s="46" t="str">
        <f>IFERROR(VLOOKUP($C24,二次物料明细!$A:$N,COLUMN(二次物料明细!M$1),),0)</f>
        <v>CNY</v>
      </c>
      <c r="W24" s="46" t="str">
        <f>IFERROR(VLOOKUP($C24,二次物料明细!$A:$N,COLUMN(二次物料明细!N$1),),0)</f>
        <v>系统价</v>
      </c>
    </row>
    <row r="25" spans="1:24">
      <c r="A25" s="42">
        <v>6608523073</v>
      </c>
      <c r="B25" s="42" t="s">
        <v>337</v>
      </c>
      <c r="C25" s="50" t="s">
        <v>433</v>
      </c>
      <c r="D25" s="44" t="s">
        <v>434</v>
      </c>
      <c r="E25" s="44" t="s">
        <v>359</v>
      </c>
      <c r="F25" s="51" t="s">
        <v>435</v>
      </c>
      <c r="G25" s="44"/>
      <c r="H25" s="44"/>
      <c r="I25" s="44"/>
      <c r="J25" s="50">
        <v>17</v>
      </c>
      <c r="K25" s="44" t="s">
        <v>360</v>
      </c>
      <c r="L25" s="51" t="s">
        <v>431</v>
      </c>
      <c r="M25" s="48"/>
      <c r="N25" s="8" t="s">
        <v>363</v>
      </c>
      <c r="O25" s="46" t="str">
        <f>IFERROR(VLOOKUP($C25,二次物料明细!$A:$N,COLUMN(二次物料明细!H$1),),0)</f>
        <v>洪巧明</v>
      </c>
      <c r="P25" s="47">
        <f>IFERROR(VLOOKUP($C25,二次物料明细!$A:$N,COLUMN(二次物料明细!I$1),),0)</f>
        <v>0.06</v>
      </c>
      <c r="Q25" s="47">
        <f>IFERROR(VLOOKUP($C25,二次物料明细!$A:$N,COLUMN(二次物料明细!J$1),),0)</f>
        <v>0</v>
      </c>
      <c r="R25" s="47">
        <f>IFERROR(VLOOKUP($C25,二次物料明细!$A:$N,COLUMN(二次物料明细!K$1),),0)</f>
        <v>0</v>
      </c>
      <c r="S25" s="47">
        <f>IFERROR(VLOOKUP($C25,二次物料明细!$A:$N,COLUMN(二次物料明细!L$1),),0)</f>
        <v>0</v>
      </c>
      <c r="T25" s="47">
        <f t="shared" si="0"/>
        <v>0</v>
      </c>
      <c r="U25" s="47">
        <f t="shared" si="1"/>
        <v>1.02</v>
      </c>
      <c r="V25" s="46" t="str">
        <f>IFERROR(VLOOKUP($C25,二次物料明细!$A:$N,COLUMN(二次物料明细!M$1),),0)</f>
        <v>CNY</v>
      </c>
      <c r="W25" s="46" t="str">
        <f>IFERROR(VLOOKUP($C25,二次物料明细!$A:$N,COLUMN(二次物料明细!N$1),),0)</f>
        <v>系统价</v>
      </c>
    </row>
    <row r="26" spans="1:24">
      <c r="A26" s="42">
        <v>6608523073</v>
      </c>
      <c r="B26" s="42" t="s">
        <v>337</v>
      </c>
      <c r="C26" s="54" t="s">
        <v>436</v>
      </c>
      <c r="D26" s="50" t="s">
        <v>437</v>
      </c>
      <c r="E26" s="44" t="s">
        <v>359</v>
      </c>
      <c r="F26" s="51" t="s">
        <v>438</v>
      </c>
      <c r="G26" s="44"/>
      <c r="H26" s="44"/>
      <c r="I26" s="44"/>
      <c r="J26" s="50">
        <v>17</v>
      </c>
      <c r="K26" s="44" t="s">
        <v>360</v>
      </c>
      <c r="L26" s="51" t="s">
        <v>431</v>
      </c>
      <c r="M26" s="48"/>
      <c r="N26" s="8" t="s">
        <v>363</v>
      </c>
      <c r="O26" s="46" t="str">
        <f>IFERROR(VLOOKUP($C26,二次物料明细!$A:$N,COLUMN(二次物料明细!H$1),),0)</f>
        <v>洪巧明</v>
      </c>
      <c r="P26" s="47">
        <f>IFERROR(VLOOKUP($C26,二次物料明细!$A:$N,COLUMN(二次物料明细!I$1),),0)</f>
        <v>0.055</v>
      </c>
      <c r="Q26" s="47">
        <f>IFERROR(VLOOKUP($C26,二次物料明细!$A:$N,COLUMN(二次物料明细!J$1),),0)</f>
        <v>0</v>
      </c>
      <c r="R26" s="47">
        <f>IFERROR(VLOOKUP($C26,二次物料明细!$A:$N,COLUMN(二次物料明细!K$1),),0)</f>
        <v>0</v>
      </c>
      <c r="S26" s="47">
        <f>IFERROR(VLOOKUP($C26,二次物料明细!$A:$N,COLUMN(二次物料明细!L$1),),0)</f>
        <v>0</v>
      </c>
      <c r="T26" s="47">
        <f t="shared" si="0"/>
        <v>0</v>
      </c>
      <c r="U26" s="47">
        <f t="shared" si="1"/>
        <v>0.935</v>
      </c>
      <c r="V26" s="46" t="str">
        <f>IFERROR(VLOOKUP($C26,二次物料明细!$A:$N,COLUMN(二次物料明细!M$1),),0)</f>
        <v>CNY</v>
      </c>
      <c r="W26" s="46" t="str">
        <f>IFERROR(VLOOKUP($C26,二次物料明细!$A:$N,COLUMN(二次物料明细!N$1),),0)</f>
        <v>系统价</v>
      </c>
    </row>
    <row r="27" spans="1:24">
      <c r="A27" s="42">
        <v>6608523073</v>
      </c>
      <c r="B27" s="42" t="s">
        <v>337</v>
      </c>
      <c r="C27" s="54" t="s">
        <v>439</v>
      </c>
      <c r="D27" s="50" t="s">
        <v>440</v>
      </c>
      <c r="E27" s="44" t="s">
        <v>359</v>
      </c>
      <c r="F27" s="51" t="s">
        <v>441</v>
      </c>
      <c r="G27" s="44"/>
      <c r="H27" s="44"/>
      <c r="I27" s="44"/>
      <c r="J27" s="50">
        <v>1</v>
      </c>
      <c r="K27" s="44" t="s">
        <v>360</v>
      </c>
      <c r="L27" s="51" t="s">
        <v>431</v>
      </c>
      <c r="M27" s="48"/>
      <c r="N27" s="8" t="s">
        <v>363</v>
      </c>
      <c r="O27" s="46" t="str">
        <f>IFERROR(VLOOKUP($C27,二次物料明细!$A:$N,COLUMN(二次物料明细!H$1),),0)</f>
        <v>洪巧明</v>
      </c>
      <c r="P27" s="47">
        <f>IFERROR(VLOOKUP($C27,二次物料明细!$A:$N,COLUMN(二次物料明细!I$1),),0)</f>
        <v>0.045</v>
      </c>
      <c r="Q27" s="47">
        <f>IFERROR(VLOOKUP($C27,二次物料明细!$A:$N,COLUMN(二次物料明细!J$1),),0)</f>
        <v>0</v>
      </c>
      <c r="R27" s="47">
        <f>IFERROR(VLOOKUP($C27,二次物料明细!$A:$N,COLUMN(二次物料明细!K$1),),0)</f>
        <v>0</v>
      </c>
      <c r="S27" s="47">
        <f>IFERROR(VLOOKUP($C27,二次物料明细!$A:$N,COLUMN(二次物料明细!L$1),),0)</f>
        <v>0</v>
      </c>
      <c r="T27" s="47">
        <f t="shared" si="0"/>
        <v>0</v>
      </c>
      <c r="U27" s="47">
        <f t="shared" si="1"/>
        <v>0.045</v>
      </c>
      <c r="V27" s="46" t="str">
        <f>IFERROR(VLOOKUP($C27,二次物料明细!$A:$N,COLUMN(二次物料明细!M$1),),0)</f>
        <v>CNY</v>
      </c>
      <c r="W27" s="46" t="str">
        <f>IFERROR(VLOOKUP($C27,二次物料明细!$A:$N,COLUMN(二次物料明细!N$1),),0)</f>
        <v>系统价</v>
      </c>
    </row>
    <row r="28" spans="1:24">
      <c r="A28" s="42">
        <v>6608523073</v>
      </c>
      <c r="B28" s="42" t="s">
        <v>337</v>
      </c>
      <c r="C28" s="54" t="s">
        <v>442</v>
      </c>
      <c r="D28" s="50" t="s">
        <v>443</v>
      </c>
      <c r="E28" s="44" t="s">
        <v>359</v>
      </c>
      <c r="F28" s="51" t="s">
        <v>444</v>
      </c>
      <c r="G28" s="44"/>
      <c r="H28" s="44"/>
      <c r="I28" s="44"/>
      <c r="J28" s="50">
        <v>4</v>
      </c>
      <c r="K28" s="44" t="s">
        <v>360</v>
      </c>
      <c r="L28" s="51" t="s">
        <v>431</v>
      </c>
      <c r="M28" s="49"/>
      <c r="N28" s="8" t="s">
        <v>363</v>
      </c>
      <c r="O28" s="46" t="str">
        <f>IFERROR(VLOOKUP($C28,二次物料明细!$A:$N,COLUMN(二次物料明细!H$1),),0)</f>
        <v>洪巧明</v>
      </c>
      <c r="P28" s="47">
        <f>IFERROR(VLOOKUP($C28,二次物料明细!$A:$N,COLUMN(二次物料明细!I$1),),0)</f>
        <v>0.182</v>
      </c>
      <c r="Q28" s="47">
        <f>IFERROR(VLOOKUP($C28,二次物料明细!$A:$N,COLUMN(二次物料明细!J$1),),0)</f>
        <v>0</v>
      </c>
      <c r="R28" s="47">
        <f>IFERROR(VLOOKUP($C28,二次物料明细!$A:$N,COLUMN(二次物料明细!K$1),),0)</f>
        <v>0</v>
      </c>
      <c r="S28" s="47">
        <f>IFERROR(VLOOKUP($C28,二次物料明细!$A:$N,COLUMN(二次物料明细!L$1),),0)</f>
        <v>0</v>
      </c>
      <c r="T28" s="47">
        <f t="shared" si="0"/>
        <v>0</v>
      </c>
      <c r="U28" s="47">
        <f t="shared" si="1"/>
        <v>0.728</v>
      </c>
      <c r="V28" s="46" t="str">
        <f>IFERROR(VLOOKUP($C28,二次物料明细!$A:$N,COLUMN(二次物料明细!M$1),),0)</f>
        <v>CNY</v>
      </c>
      <c r="W28" s="46" t="str">
        <f>IFERROR(VLOOKUP($C28,二次物料明细!$A:$N,COLUMN(二次物料明细!N$1),),0)</f>
        <v>系统价</v>
      </c>
    </row>
    <row r="29" spans="1:24">
      <c r="A29" s="42">
        <v>6608523073</v>
      </c>
      <c r="B29" s="42" t="s">
        <v>337</v>
      </c>
      <c r="C29" s="54" t="s">
        <v>445</v>
      </c>
      <c r="D29" s="50" t="s">
        <v>446</v>
      </c>
      <c r="E29" s="44" t="s">
        <v>359</v>
      </c>
      <c r="F29" s="51" t="s">
        <v>447</v>
      </c>
      <c r="G29" s="44"/>
      <c r="H29" s="44"/>
      <c r="I29" s="44"/>
      <c r="J29" s="50">
        <v>1</v>
      </c>
      <c r="K29" s="44" t="s">
        <v>360</v>
      </c>
      <c r="L29" s="51" t="s">
        <v>448</v>
      </c>
      <c r="M29" s="50"/>
      <c r="N29" s="8" t="s">
        <v>449</v>
      </c>
      <c r="O29" s="46" t="str">
        <f>IFERROR(VLOOKUP($C29,二次物料明细!$A:$N,COLUMN(二次物料明细!H$1),),0)</f>
        <v>邹娇</v>
      </c>
      <c r="P29" s="47">
        <f>IFERROR(VLOOKUP($C29,二次物料明细!$A:$N,COLUMN(二次物料明细!I$1),),0)</f>
        <v>0.1</v>
      </c>
      <c r="Q29" s="47">
        <f>IFERROR(VLOOKUP($C29,二次物料明细!$A:$N,COLUMN(二次物料明细!J$1),),0)</f>
        <v>0</v>
      </c>
      <c r="R29" s="47">
        <f>IFERROR(VLOOKUP($C29,二次物料明细!$A:$N,COLUMN(二次物料明细!K$1),),0)</f>
        <v>0</v>
      </c>
      <c r="S29" s="47">
        <f>IFERROR(VLOOKUP($C29,二次物料明细!$A:$N,COLUMN(二次物料明细!L$1),),0)</f>
        <v>0</v>
      </c>
      <c r="T29" s="47">
        <f t="shared" si="0"/>
        <v>0</v>
      </c>
      <c r="U29" s="47">
        <f t="shared" si="1"/>
        <v>0.1</v>
      </c>
      <c r="V29" s="46" t="str">
        <f>IFERROR(VLOOKUP($C29,二次物料明细!$A:$N,COLUMN(二次物料明细!M$1),),0)</f>
        <v>CNY</v>
      </c>
      <c r="W29" s="46" t="str">
        <f>IFERROR(VLOOKUP($C29,二次物料明细!$A:$N,COLUMN(二次物料明细!N$1),),0)</f>
        <v>系统价</v>
      </c>
    </row>
    <row r="30" spans="1:24">
      <c r="A30" s="42">
        <v>6608523073</v>
      </c>
      <c r="B30" s="42" t="s">
        <v>337</v>
      </c>
      <c r="C30" s="50" t="s">
        <v>450</v>
      </c>
      <c r="D30" s="50" t="s">
        <v>451</v>
      </c>
      <c r="E30" s="44" t="s">
        <v>359</v>
      </c>
      <c r="F30" s="51" t="s">
        <v>452</v>
      </c>
      <c r="G30" s="44"/>
      <c r="H30" s="44"/>
      <c r="I30" s="44"/>
      <c r="J30" s="50">
        <v>1</v>
      </c>
      <c r="K30" s="44" t="s">
        <v>360</v>
      </c>
      <c r="L30" s="51" t="s">
        <v>361</v>
      </c>
      <c r="M30" s="45" t="s">
        <v>453</v>
      </c>
      <c r="N30" s="8" t="s">
        <v>363</v>
      </c>
      <c r="O30" s="46" t="str">
        <f>IFERROR(VLOOKUP($C30,二次物料明细!$A:$N,COLUMN(二次物料明细!H$1),),0)</f>
        <v>江苏林</v>
      </c>
      <c r="P30" s="47">
        <f>IFERROR(VLOOKUP($C30,二次物料明细!$A:$N,COLUMN(二次物料明细!I$1),),0)</f>
        <v>3.3</v>
      </c>
      <c r="Q30" s="47">
        <f>IFERROR(VLOOKUP($C30,二次物料明细!$A:$N,COLUMN(二次物料明细!J$1),),0)</f>
        <v>0</v>
      </c>
      <c r="R30" s="47">
        <f>IFERROR(VLOOKUP($C30,二次物料明细!$A:$N,COLUMN(二次物料明细!K$1),),0)</f>
        <v>0</v>
      </c>
      <c r="S30" s="47">
        <f>IFERROR(VLOOKUP($C30,二次物料明细!$A:$N,COLUMN(二次物料明细!L$1),),0)</f>
        <v>0</v>
      </c>
      <c r="T30" s="47">
        <f t="shared" si="0"/>
        <v>0</v>
      </c>
      <c r="U30" s="47">
        <f t="shared" si="1"/>
        <v>3.3</v>
      </c>
      <c r="V30" s="46" t="str">
        <f>IFERROR(VLOOKUP($C30,二次物料明细!$A:$N,COLUMN(二次物料明细!M$1),),0)</f>
        <v>CNY</v>
      </c>
      <c r="W30" s="46" t="str">
        <f>IFERROR(VLOOKUP($C30,二次物料明细!$A:$N,COLUMN(二次物料明细!N$1),),0)</f>
        <v>系统价</v>
      </c>
    </row>
    <row r="31" spans="1:24">
      <c r="A31" s="42">
        <v>6608523073</v>
      </c>
      <c r="B31" s="42" t="s">
        <v>337</v>
      </c>
      <c r="C31" s="50" t="s">
        <v>454</v>
      </c>
      <c r="D31" s="50" t="s">
        <v>455</v>
      </c>
      <c r="E31" s="44" t="s">
        <v>359</v>
      </c>
      <c r="F31" s="51" t="s">
        <v>456</v>
      </c>
      <c r="G31" s="44"/>
      <c r="H31" s="44"/>
      <c r="I31" s="44"/>
      <c r="J31" s="50">
        <v>9</v>
      </c>
      <c r="K31" s="44" t="s">
        <v>360</v>
      </c>
      <c r="L31" s="51" t="s">
        <v>361</v>
      </c>
      <c r="M31" s="48"/>
      <c r="N31" s="8" t="s">
        <v>363</v>
      </c>
      <c r="O31" s="46" t="str">
        <f>IFERROR(VLOOKUP($C31,二次物料明细!$A:$N,COLUMN(二次物料明细!H$1),),0)</f>
        <v>江苏林</v>
      </c>
      <c r="P31" s="47">
        <f>IFERROR(VLOOKUP($C31,二次物料明细!$A:$N,COLUMN(二次物料明细!I$1),),0)</f>
        <v>0.15</v>
      </c>
      <c r="Q31" s="47">
        <f>IFERROR(VLOOKUP($C31,二次物料明细!$A:$N,COLUMN(二次物料明细!J$1),),0)</f>
        <v>0</v>
      </c>
      <c r="R31" s="47">
        <f>IFERROR(VLOOKUP($C31,二次物料明细!$A:$N,COLUMN(二次物料明细!K$1),),0)</f>
        <v>0</v>
      </c>
      <c r="S31" s="47">
        <f>IFERROR(VLOOKUP($C31,二次物料明细!$A:$N,COLUMN(二次物料明细!L$1),),0)</f>
        <v>0</v>
      </c>
      <c r="T31" s="47">
        <f t="shared" si="0"/>
        <v>0</v>
      </c>
      <c r="U31" s="47">
        <f t="shared" si="1"/>
        <v>1.35</v>
      </c>
      <c r="V31" s="46" t="str">
        <f>IFERROR(VLOOKUP($C31,二次物料明细!$A:$N,COLUMN(二次物料明细!M$1),),0)</f>
        <v>CNY</v>
      </c>
      <c r="W31" s="46" t="str">
        <f>IFERROR(VLOOKUP($C31,二次物料明细!$A:$N,COLUMN(二次物料明细!N$1),),0)</f>
        <v>系统价</v>
      </c>
      <c r="X31" s="34"/>
    </row>
    <row r="32" spans="1:24">
      <c r="A32" s="42">
        <v>6608523073</v>
      </c>
      <c r="B32" s="42" t="s">
        <v>337</v>
      </c>
      <c r="C32" s="50" t="s">
        <v>457</v>
      </c>
      <c r="D32" s="50" t="s">
        <v>458</v>
      </c>
      <c r="E32" s="44" t="s">
        <v>359</v>
      </c>
      <c r="F32" s="51" t="s">
        <v>459</v>
      </c>
      <c r="G32" s="44"/>
      <c r="H32" s="44"/>
      <c r="I32" s="44"/>
      <c r="J32" s="50">
        <v>9</v>
      </c>
      <c r="K32" s="44" t="s">
        <v>360</v>
      </c>
      <c r="L32" s="51" t="s">
        <v>361</v>
      </c>
      <c r="M32" s="48"/>
      <c r="N32" s="8" t="s">
        <v>363</v>
      </c>
      <c r="O32" s="46" t="str">
        <f>IFERROR(VLOOKUP($C32,二次物料明细!$A:$N,COLUMN(二次物料明细!H$1),),0)</f>
        <v>江苏林</v>
      </c>
      <c r="P32" s="47">
        <f>IFERROR(VLOOKUP($C32,二次物料明细!$A:$N,COLUMN(二次物料明细!I$1),),0)</f>
        <v>0.085</v>
      </c>
      <c r="Q32" s="47">
        <f>IFERROR(VLOOKUP($C32,二次物料明细!$A:$N,COLUMN(二次物料明细!J$1),),0)</f>
        <v>0</v>
      </c>
      <c r="R32" s="47">
        <f>IFERROR(VLOOKUP($C32,二次物料明细!$A:$N,COLUMN(二次物料明细!K$1),),0)</f>
        <v>0</v>
      </c>
      <c r="S32" s="47">
        <f>IFERROR(VLOOKUP($C32,二次物料明细!$A:$N,COLUMN(二次物料明细!L$1),),0)</f>
        <v>0</v>
      </c>
      <c r="T32" s="47">
        <f t="shared" si="0"/>
        <v>0</v>
      </c>
      <c r="U32" s="47">
        <f t="shared" si="1"/>
        <v>0.765</v>
      </c>
      <c r="V32" s="46" t="str">
        <f>IFERROR(VLOOKUP($C32,二次物料明细!$A:$N,COLUMN(二次物料明细!M$1),),0)</f>
        <v>CNY</v>
      </c>
      <c r="W32" s="46" t="str">
        <f>IFERROR(VLOOKUP($C32,二次物料明细!$A:$N,COLUMN(二次物料明细!N$1),),0)</f>
        <v>系统价</v>
      </c>
      <c r="X32" s="34"/>
    </row>
    <row r="33" customHeight="1" spans="1:24">
      <c r="A33" s="42">
        <v>6608523073</v>
      </c>
      <c r="B33" s="42" t="s">
        <v>337</v>
      </c>
      <c r="C33" s="50" t="s">
        <v>460</v>
      </c>
      <c r="D33" s="50" t="s">
        <v>458</v>
      </c>
      <c r="E33" s="44" t="s">
        <v>359</v>
      </c>
      <c r="F33" s="51" t="s">
        <v>461</v>
      </c>
      <c r="G33" s="44"/>
      <c r="H33" s="44"/>
      <c r="I33" s="44"/>
      <c r="J33" s="50">
        <v>1</v>
      </c>
      <c r="K33" s="44" t="s">
        <v>360</v>
      </c>
      <c r="L33" s="51" t="s">
        <v>361</v>
      </c>
      <c r="M33" s="49"/>
      <c r="N33" s="8" t="s">
        <v>363</v>
      </c>
      <c r="O33" s="46" t="str">
        <f>IFERROR(VLOOKUP($C33,二次物料明细!$A:$N,COLUMN(二次物料明细!H$1),),0)</f>
        <v>江苏林</v>
      </c>
      <c r="P33" s="47">
        <f>IFERROR(VLOOKUP($C33,二次物料明细!$A:$N,COLUMN(二次物料明细!I$1),),0)</f>
        <v>0.1</v>
      </c>
      <c r="Q33" s="47">
        <f>IFERROR(VLOOKUP($C33,二次物料明细!$A:$N,COLUMN(二次物料明细!J$1),),0)</f>
        <v>0</v>
      </c>
      <c r="R33" s="47">
        <f>IFERROR(VLOOKUP($C33,二次物料明细!$A:$N,COLUMN(二次物料明细!K$1),),0)</f>
        <v>0</v>
      </c>
      <c r="S33" s="47">
        <f>IFERROR(VLOOKUP($C33,二次物料明细!$A:$N,COLUMN(二次物料明细!L$1),),0)</f>
        <v>0</v>
      </c>
      <c r="T33" s="47">
        <f t="shared" si="0"/>
        <v>0</v>
      </c>
      <c r="U33" s="47">
        <f t="shared" si="1"/>
        <v>0.1</v>
      </c>
      <c r="V33" s="46" t="str">
        <f>IFERROR(VLOOKUP($C33,二次物料明细!$A:$N,COLUMN(二次物料明细!M$1),),0)</f>
        <v>CNY</v>
      </c>
      <c r="W33" s="46" t="str">
        <f>IFERROR(VLOOKUP($C33,二次物料明细!$A:$N,COLUMN(二次物料明细!N$1),),0)</f>
        <v>系统价</v>
      </c>
      <c r="X33" s="34"/>
    </row>
    <row r="34" spans="1:24">
      <c r="A34" s="42">
        <v>6608523073</v>
      </c>
      <c r="B34" s="42" t="s">
        <v>337</v>
      </c>
      <c r="C34" s="50" t="s">
        <v>462</v>
      </c>
      <c r="D34" s="50" t="s">
        <v>451</v>
      </c>
      <c r="E34" s="44" t="s">
        <v>359</v>
      </c>
      <c r="F34" s="50" t="s">
        <v>463</v>
      </c>
      <c r="G34" s="44"/>
      <c r="H34" s="44"/>
      <c r="I34" s="44"/>
      <c r="J34" s="50">
        <v>1</v>
      </c>
      <c r="K34" s="44" t="s">
        <v>360</v>
      </c>
      <c r="L34" s="51" t="s">
        <v>361</v>
      </c>
      <c r="M34" s="50" t="s">
        <v>464</v>
      </c>
      <c r="N34" s="8" t="s">
        <v>363</v>
      </c>
      <c r="O34" s="46" t="str">
        <f>IFERROR(VLOOKUP($C34,二次物料明细!$A:$N,COLUMN(二次物料明细!H$1),),0)</f>
        <v>江苏林</v>
      </c>
      <c r="P34" s="47">
        <f>IFERROR(VLOOKUP($C34,二次物料明细!$A:$N,COLUMN(二次物料明细!I$1),),0)</f>
        <v>1.39</v>
      </c>
      <c r="Q34" s="47">
        <f>IFERROR(VLOOKUP($C34,二次物料明细!$A:$N,COLUMN(二次物料明细!J$1),),0)</f>
        <v>0</v>
      </c>
      <c r="R34" s="47">
        <f>IFERROR(VLOOKUP($C34,二次物料明细!$A:$N,COLUMN(二次物料明细!K$1),),0)</f>
        <v>0</v>
      </c>
      <c r="S34" s="47">
        <f>IFERROR(VLOOKUP($C34,二次物料明细!$A:$N,COLUMN(二次物料明细!L$1),),0)</f>
        <v>0</v>
      </c>
      <c r="T34" s="47">
        <f t="shared" si="0"/>
        <v>0</v>
      </c>
      <c r="U34" s="47">
        <f t="shared" si="1"/>
        <v>1.39</v>
      </c>
      <c r="V34" s="46" t="str">
        <f>IFERROR(VLOOKUP($C34,二次物料明细!$A:$N,COLUMN(二次物料明细!M$1),),0)</f>
        <v>CNY</v>
      </c>
      <c r="W34" s="46" t="str">
        <f>IFERROR(VLOOKUP($C34,二次物料明细!$A:$N,COLUMN(二次物料明细!N$1),),0)</f>
        <v>系统价</v>
      </c>
    </row>
    <row r="35" spans="1:24">
      <c r="A35" s="42">
        <v>6608523073</v>
      </c>
      <c r="B35" s="42" t="s">
        <v>337</v>
      </c>
      <c r="C35" s="50" t="s">
        <v>465</v>
      </c>
      <c r="D35" s="50" t="s">
        <v>455</v>
      </c>
      <c r="E35" s="44" t="s">
        <v>359</v>
      </c>
      <c r="F35" s="50" t="s">
        <v>466</v>
      </c>
      <c r="G35" s="44"/>
      <c r="H35" s="44"/>
      <c r="I35" s="44"/>
      <c r="J35" s="50">
        <v>6</v>
      </c>
      <c r="K35" s="44" t="s">
        <v>360</v>
      </c>
      <c r="L35" s="51" t="s">
        <v>431</v>
      </c>
      <c r="M35" s="50"/>
      <c r="N35" s="8" t="s">
        <v>363</v>
      </c>
      <c r="O35" s="46" t="str">
        <f>IFERROR(VLOOKUP($C35,二次物料明细!$A:$N,COLUMN(二次物料明细!H$1),),0)</f>
        <v>洪巧明</v>
      </c>
      <c r="P35" s="47">
        <f>IFERROR(VLOOKUP($C35,二次物料明细!$A:$N,COLUMN(二次物料明细!I$1),),0)</f>
        <v>0.11915</v>
      </c>
      <c r="Q35" s="47">
        <f>IFERROR(VLOOKUP($C35,二次物料明细!$A:$N,COLUMN(二次物料明细!J$1),),0)</f>
        <v>0</v>
      </c>
      <c r="R35" s="47">
        <f>IFERROR(VLOOKUP($C35,二次物料明细!$A:$N,COLUMN(二次物料明细!K$1),),0)</f>
        <v>0</v>
      </c>
      <c r="S35" s="47">
        <f>IFERROR(VLOOKUP($C35,二次物料明细!$A:$N,COLUMN(二次物料明细!L$1),),0)</f>
        <v>0</v>
      </c>
      <c r="T35" s="47">
        <f t="shared" ref="T35:T66" si="2">(R35*90.11+Q35*21.24+S35)/1000</f>
        <v>0</v>
      </c>
      <c r="U35" s="47">
        <f t="shared" ref="U35:U66" si="3">(P35+T35)*J35</f>
        <v>0.7149</v>
      </c>
      <c r="V35" s="46" t="str">
        <f>IFERROR(VLOOKUP($C35,二次物料明细!$A:$N,COLUMN(二次物料明细!M$1),),0)</f>
        <v>CNY</v>
      </c>
      <c r="W35" s="46" t="str">
        <f>IFERROR(VLOOKUP($C35,二次物料明细!$A:$N,COLUMN(二次物料明细!N$1),),0)</f>
        <v>系统价</v>
      </c>
    </row>
    <row r="36" spans="1:24">
      <c r="A36" s="42">
        <v>6608523073</v>
      </c>
      <c r="B36" s="42" t="s">
        <v>337</v>
      </c>
      <c r="C36" s="50" t="s">
        <v>457</v>
      </c>
      <c r="D36" s="50" t="s">
        <v>458</v>
      </c>
      <c r="E36" s="44" t="s">
        <v>359</v>
      </c>
      <c r="F36" s="50" t="s">
        <v>459</v>
      </c>
      <c r="G36" s="44"/>
      <c r="H36" s="44"/>
      <c r="I36" s="44"/>
      <c r="J36" s="50">
        <v>6</v>
      </c>
      <c r="K36" s="44" t="s">
        <v>360</v>
      </c>
      <c r="L36" s="51" t="s">
        <v>361</v>
      </c>
      <c r="M36" s="50"/>
      <c r="N36" s="8" t="s">
        <v>363</v>
      </c>
      <c r="O36" s="46" t="str">
        <f>IFERROR(VLOOKUP($C36,二次物料明细!$A:$N,COLUMN(二次物料明细!H$1),),0)</f>
        <v>江苏林</v>
      </c>
      <c r="P36" s="47">
        <f>IFERROR(VLOOKUP($C36,二次物料明细!$A:$N,COLUMN(二次物料明细!I$1),),0)</f>
        <v>0.085</v>
      </c>
      <c r="Q36" s="47">
        <f>IFERROR(VLOOKUP($C36,二次物料明细!$A:$N,COLUMN(二次物料明细!J$1),),0)</f>
        <v>0</v>
      </c>
      <c r="R36" s="47">
        <f>IFERROR(VLOOKUP($C36,二次物料明细!$A:$N,COLUMN(二次物料明细!K$1),),0)</f>
        <v>0</v>
      </c>
      <c r="S36" s="47">
        <f>IFERROR(VLOOKUP($C36,二次物料明细!$A:$N,COLUMN(二次物料明细!L$1),),0)</f>
        <v>0</v>
      </c>
      <c r="T36" s="47">
        <f t="shared" si="2"/>
        <v>0</v>
      </c>
      <c r="U36" s="47">
        <f t="shared" si="3"/>
        <v>0.51</v>
      </c>
      <c r="V36" s="46" t="str">
        <f>IFERROR(VLOOKUP($C36,二次物料明细!$A:$N,COLUMN(二次物料明细!M$1),),0)</f>
        <v>CNY</v>
      </c>
      <c r="W36" s="46" t="str">
        <f>IFERROR(VLOOKUP($C36,二次物料明细!$A:$N,COLUMN(二次物料明细!N$1),),0)</f>
        <v>系统价</v>
      </c>
      <c r="X36" s="34"/>
    </row>
    <row r="37" spans="1:24">
      <c r="A37" s="42">
        <v>6608523073</v>
      </c>
      <c r="B37" s="42" t="s">
        <v>337</v>
      </c>
      <c r="C37" s="50" t="s">
        <v>467</v>
      </c>
      <c r="D37" s="50" t="s">
        <v>406</v>
      </c>
      <c r="E37" s="44" t="s">
        <v>359</v>
      </c>
      <c r="F37" s="50" t="s">
        <v>468</v>
      </c>
      <c r="G37" s="44"/>
      <c r="H37" s="44"/>
      <c r="I37" s="44"/>
      <c r="J37" s="50">
        <v>1</v>
      </c>
      <c r="K37" s="44" t="s">
        <v>360</v>
      </c>
      <c r="L37" s="51" t="s">
        <v>431</v>
      </c>
      <c r="M37" s="45" t="s">
        <v>469</v>
      </c>
      <c r="N37" s="8" t="s">
        <v>363</v>
      </c>
      <c r="O37" s="46" t="str">
        <f>IFERROR(VLOOKUP($C37,二次物料明细!$A:$N,COLUMN(二次物料明细!H$1),),0)</f>
        <v>洪巧明</v>
      </c>
      <c r="P37" s="47">
        <f>IFERROR(VLOOKUP($C37,二次物料明细!$A:$N,COLUMN(二次物料明细!I$1),),0)</f>
        <v>3.8</v>
      </c>
      <c r="Q37" s="47">
        <f>IFERROR(VLOOKUP($C37,二次物料明细!$A:$N,COLUMN(二次物料明细!J$1),),0)</f>
        <v>0</v>
      </c>
      <c r="R37" s="47">
        <f>IFERROR(VLOOKUP($C37,二次物料明细!$A:$N,COLUMN(二次物料明细!K$1),),0)</f>
        <v>0</v>
      </c>
      <c r="S37" s="47">
        <f>IFERROR(VLOOKUP($C37,二次物料明细!$A:$N,COLUMN(二次物料明细!L$1),),0)</f>
        <v>0</v>
      </c>
      <c r="T37" s="47">
        <f t="shared" si="2"/>
        <v>0</v>
      </c>
      <c r="U37" s="47">
        <f t="shared" si="3"/>
        <v>3.8</v>
      </c>
      <c r="V37" s="46" t="str">
        <f>IFERROR(VLOOKUP($C37,二次物料明细!$A:$N,COLUMN(二次物料明细!M$1),),0)</f>
        <v>CNY</v>
      </c>
      <c r="W37" s="46" t="str">
        <f>IFERROR(VLOOKUP($C37,二次物料明细!$A:$N,COLUMN(二次物料明细!N$1),),0)</f>
        <v>参考价</v>
      </c>
    </row>
    <row r="38" spans="1:24">
      <c r="A38" s="42">
        <v>6608523073</v>
      </c>
      <c r="B38" s="42" t="s">
        <v>337</v>
      </c>
      <c r="C38" s="50" t="s">
        <v>470</v>
      </c>
      <c r="D38" s="50" t="s">
        <v>455</v>
      </c>
      <c r="E38" s="44" t="s">
        <v>359</v>
      </c>
      <c r="F38" s="50" t="s">
        <v>471</v>
      </c>
      <c r="G38" s="44"/>
      <c r="H38" s="44"/>
      <c r="I38" s="44"/>
      <c r="J38" s="50">
        <v>3</v>
      </c>
      <c r="K38" s="44" t="s">
        <v>360</v>
      </c>
      <c r="L38" s="51" t="s">
        <v>431</v>
      </c>
      <c r="M38" s="48"/>
      <c r="N38" s="8" t="s">
        <v>363</v>
      </c>
      <c r="O38" s="46" t="str">
        <f>IFERROR(VLOOKUP($C38,二次物料明细!$A:$N,COLUMN(二次物料明细!H$1),),0)</f>
        <v>洪巧明</v>
      </c>
      <c r="P38" s="47">
        <f>IFERROR(VLOOKUP($C38,二次物料明细!$A:$N,COLUMN(二次物料明细!I$1),),0)</f>
        <v>0.14492</v>
      </c>
      <c r="Q38" s="47">
        <f>IFERROR(VLOOKUP($C38,二次物料明细!$A:$N,COLUMN(二次物料明细!J$1),),0)</f>
        <v>0</v>
      </c>
      <c r="R38" s="47">
        <f>IFERROR(VLOOKUP($C38,二次物料明细!$A:$N,COLUMN(二次物料明细!K$1),),0)</f>
        <v>0</v>
      </c>
      <c r="S38" s="47">
        <f>IFERROR(VLOOKUP($C38,二次物料明细!$A:$N,COLUMN(二次物料明细!L$1),),0)</f>
        <v>0</v>
      </c>
      <c r="T38" s="47">
        <f t="shared" si="2"/>
        <v>0</v>
      </c>
      <c r="U38" s="47">
        <f t="shared" si="3"/>
        <v>0.43476</v>
      </c>
      <c r="V38" s="46" t="str">
        <f>IFERROR(VLOOKUP($C38,二次物料明细!$A:$N,COLUMN(二次物料明细!M$1),),0)</f>
        <v>CNY</v>
      </c>
      <c r="W38" s="46" t="str">
        <f>IFERROR(VLOOKUP($C38,二次物料明细!$A:$N,COLUMN(二次物料明细!N$1),),0)</f>
        <v>系统价</v>
      </c>
    </row>
    <row r="39" spans="1:24">
      <c r="A39" s="42">
        <v>6608523073</v>
      </c>
      <c r="B39" s="42" t="s">
        <v>337</v>
      </c>
      <c r="C39" s="50" t="s">
        <v>472</v>
      </c>
      <c r="D39" s="50" t="s">
        <v>458</v>
      </c>
      <c r="E39" s="44" t="s">
        <v>359</v>
      </c>
      <c r="F39" s="50" t="s">
        <v>473</v>
      </c>
      <c r="G39" s="44"/>
      <c r="H39" s="44"/>
      <c r="I39" s="44"/>
      <c r="J39" s="50">
        <v>3</v>
      </c>
      <c r="K39" s="44" t="s">
        <v>360</v>
      </c>
      <c r="L39" s="51" t="s">
        <v>431</v>
      </c>
      <c r="M39" s="48"/>
      <c r="N39" s="8" t="s">
        <v>363</v>
      </c>
      <c r="O39" s="46" t="str">
        <f>IFERROR(VLOOKUP($C39,二次物料明细!$A:$N,COLUMN(二次物料明细!H$1),),0)</f>
        <v>洪巧明</v>
      </c>
      <c r="P39" s="47">
        <f>IFERROR(VLOOKUP($C39,二次物料明细!$A:$N,COLUMN(二次物料明细!I$1),),0)</f>
        <v>0.045</v>
      </c>
      <c r="Q39" s="47">
        <f>IFERROR(VLOOKUP($C39,二次物料明细!$A:$N,COLUMN(二次物料明细!J$1),),0)</f>
        <v>0</v>
      </c>
      <c r="R39" s="47">
        <f>IFERROR(VLOOKUP($C39,二次物料明细!$A:$N,COLUMN(二次物料明细!K$1),),0)</f>
        <v>0</v>
      </c>
      <c r="S39" s="47">
        <f>IFERROR(VLOOKUP($C39,二次物料明细!$A:$N,COLUMN(二次物料明细!L$1),),0)</f>
        <v>0</v>
      </c>
      <c r="T39" s="47">
        <f t="shared" si="2"/>
        <v>0</v>
      </c>
      <c r="U39" s="47">
        <f t="shared" si="3"/>
        <v>0.135</v>
      </c>
      <c r="V39" s="46" t="str">
        <f>IFERROR(VLOOKUP($C39,二次物料明细!$A:$N,COLUMN(二次物料明细!M$1),),0)</f>
        <v>CNY</v>
      </c>
      <c r="W39" s="46" t="str">
        <f>IFERROR(VLOOKUP($C39,二次物料明细!$A:$N,COLUMN(二次物料明细!N$1),),0)</f>
        <v>系统价</v>
      </c>
    </row>
    <row r="40" spans="1:24">
      <c r="A40" s="42">
        <v>6608523073</v>
      </c>
      <c r="B40" s="42" t="s">
        <v>337</v>
      </c>
      <c r="C40" s="50" t="s">
        <v>474</v>
      </c>
      <c r="D40" s="50" t="s">
        <v>475</v>
      </c>
      <c r="E40" s="44" t="s">
        <v>359</v>
      </c>
      <c r="F40" s="50" t="s">
        <v>476</v>
      </c>
      <c r="G40" s="44"/>
      <c r="H40" s="44"/>
      <c r="I40" s="44"/>
      <c r="J40" s="50">
        <v>1</v>
      </c>
      <c r="K40" s="44" t="s">
        <v>360</v>
      </c>
      <c r="L40" s="51" t="s">
        <v>431</v>
      </c>
      <c r="M40" s="49"/>
      <c r="N40" s="8" t="s">
        <v>363</v>
      </c>
      <c r="O40" s="46" t="str">
        <f>IFERROR(VLOOKUP($C40,二次物料明细!$A:$N,COLUMN(二次物料明细!H$1),),0)</f>
        <v>洪巧明</v>
      </c>
      <c r="P40" s="47">
        <f>IFERROR(VLOOKUP($C40,二次物料明细!$A:$N,COLUMN(二次物料明细!I$1),),0)</f>
        <v>0.1438</v>
      </c>
      <c r="Q40" s="47">
        <f>IFERROR(VLOOKUP($C40,二次物料明细!$A:$N,COLUMN(二次物料明细!J$1),),0)</f>
        <v>0</v>
      </c>
      <c r="R40" s="47">
        <f>IFERROR(VLOOKUP($C40,二次物料明细!$A:$N,COLUMN(二次物料明细!K$1),),0)</f>
        <v>0</v>
      </c>
      <c r="S40" s="47">
        <f>IFERROR(VLOOKUP($C40,二次物料明细!$A:$N,COLUMN(二次物料明细!L$1),),0)</f>
        <v>0</v>
      </c>
      <c r="T40" s="47">
        <f t="shared" si="2"/>
        <v>0</v>
      </c>
      <c r="U40" s="47">
        <f t="shared" si="3"/>
        <v>0.1438</v>
      </c>
      <c r="V40" s="46" t="str">
        <f>IFERROR(VLOOKUP($C40,二次物料明细!$A:$N,COLUMN(二次物料明细!M$1),),0)</f>
        <v>CNY</v>
      </c>
      <c r="W40" s="46" t="str">
        <f>IFERROR(VLOOKUP($C40,二次物料明细!$A:$N,COLUMN(二次物料明细!N$1),),0)</f>
        <v>系统价</v>
      </c>
    </row>
    <row r="41" ht="46.8" spans="1:24">
      <c r="A41" s="42">
        <v>6608523073</v>
      </c>
      <c r="B41" s="42" t="s">
        <v>337</v>
      </c>
      <c r="C41" s="55" t="s">
        <v>477</v>
      </c>
      <c r="D41" s="56" t="s">
        <v>478</v>
      </c>
      <c r="E41" s="44" t="s">
        <v>359</v>
      </c>
      <c r="F41" s="57" t="s">
        <v>479</v>
      </c>
      <c r="G41" s="44"/>
      <c r="H41" s="58"/>
      <c r="I41" s="44"/>
      <c r="J41" s="59">
        <v>1</v>
      </c>
      <c r="K41" s="44" t="s">
        <v>360</v>
      </c>
      <c r="L41" s="44" t="s">
        <v>480</v>
      </c>
      <c r="M41" s="50" t="s">
        <v>481</v>
      </c>
      <c r="N41" s="8" t="s">
        <v>363</v>
      </c>
      <c r="O41" s="46" t="str">
        <f>IFERROR(VLOOKUP($C41,二次物料明细!$A:$N,COLUMN(二次物料明细!H$1),),0)</f>
        <v>狄斌</v>
      </c>
      <c r="P41" s="47">
        <f>IFERROR(VLOOKUP($C41,二次物料明细!$A:$N,COLUMN(二次物料明细!I$1),),0)</f>
        <v>2.2</v>
      </c>
      <c r="Q41" s="47">
        <f>IFERROR(VLOOKUP($C41,二次物料明细!$A:$N,COLUMN(二次物料明细!J$1),),0)</f>
        <v>0</v>
      </c>
      <c r="R41" s="47">
        <f>IFERROR(VLOOKUP($C41,二次物料明细!$A:$N,COLUMN(二次物料明细!K$1),),0)</f>
        <v>0</v>
      </c>
      <c r="S41" s="47">
        <f>IFERROR(VLOOKUP($C41,二次物料明细!$A:$N,COLUMN(二次物料明细!L$1),),0)</f>
        <v>0</v>
      </c>
      <c r="T41" s="47">
        <f t="shared" si="2"/>
        <v>0</v>
      </c>
      <c r="U41" s="47">
        <f t="shared" si="3"/>
        <v>2.2</v>
      </c>
      <c r="V41" s="46" t="str">
        <f>IFERROR(VLOOKUP($C41,二次物料明细!$A:$N,COLUMN(二次物料明细!M$1),),0)</f>
        <v>CNY</v>
      </c>
      <c r="W41" s="46" t="str">
        <f>IFERROR(VLOOKUP($C41,二次物料明细!$A:$N,COLUMN(二次物料明细!N$1),),0)</f>
        <v>系统价</v>
      </c>
      <c r="X41" s="34"/>
    </row>
    <row r="42" ht="46.8" spans="1:24">
      <c r="A42" s="42">
        <v>6608523073</v>
      </c>
      <c r="B42" s="42" t="s">
        <v>337</v>
      </c>
      <c r="C42" s="55" t="s">
        <v>482</v>
      </c>
      <c r="D42" s="56" t="s">
        <v>483</v>
      </c>
      <c r="E42" s="44" t="s">
        <v>359</v>
      </c>
      <c r="F42" s="44" t="s">
        <v>484</v>
      </c>
      <c r="G42" s="44"/>
      <c r="H42" s="58"/>
      <c r="I42" s="44"/>
      <c r="J42" s="59">
        <v>1</v>
      </c>
      <c r="K42" s="44" t="s">
        <v>360</v>
      </c>
      <c r="L42" s="44" t="s">
        <v>485</v>
      </c>
      <c r="M42" s="50" t="s">
        <v>486</v>
      </c>
      <c r="N42" s="8" t="s">
        <v>363</v>
      </c>
      <c r="O42" s="46" t="str">
        <f>IFERROR(VLOOKUP($C42,二次物料明细!$A:$N,COLUMN(二次物料明细!H$1),),0)</f>
        <v>狄斌</v>
      </c>
      <c r="P42" s="47">
        <f>IFERROR(VLOOKUP($C42,二次物料明细!$A:$N,COLUMN(二次物料明细!I$1),),0)</f>
        <v>1.18</v>
      </c>
      <c r="Q42" s="47">
        <f>IFERROR(VLOOKUP($C42,二次物料明细!$A:$N,COLUMN(二次物料明细!J$1),),0)</f>
        <v>0</v>
      </c>
      <c r="R42" s="47">
        <f>IFERROR(VLOOKUP($C42,二次物料明细!$A:$N,COLUMN(二次物料明细!K$1),),0)</f>
        <v>0</v>
      </c>
      <c r="S42" s="47">
        <f>IFERROR(VLOOKUP($C42,二次物料明细!$A:$N,COLUMN(二次物料明细!L$1),),0)</f>
        <v>0</v>
      </c>
      <c r="T42" s="47">
        <f t="shared" si="2"/>
        <v>0</v>
      </c>
      <c r="U42" s="47">
        <f t="shared" si="3"/>
        <v>1.18</v>
      </c>
      <c r="V42" s="46" t="str">
        <f>IFERROR(VLOOKUP($C42,二次物料明细!$A:$N,COLUMN(二次物料明细!M$1),),0)</f>
        <v>CNY</v>
      </c>
      <c r="W42" s="46" t="str">
        <f>IFERROR(VLOOKUP($C42,二次物料明细!$A:$N,COLUMN(二次物料明细!N$1),),0)</f>
        <v>系统价</v>
      </c>
    </row>
    <row r="43" spans="1:24">
      <c r="A43" s="42">
        <v>6608523073</v>
      </c>
      <c r="B43" s="42" t="s">
        <v>337</v>
      </c>
      <c r="C43" s="60">
        <v>10106495</v>
      </c>
      <c r="D43" s="61" t="s">
        <v>487</v>
      </c>
      <c r="E43" s="62" t="s">
        <v>359</v>
      </c>
      <c r="F43" s="44" t="s">
        <v>488</v>
      </c>
      <c r="G43" s="44"/>
      <c r="H43" s="44"/>
      <c r="I43" s="44"/>
      <c r="J43" s="44">
        <v>2</v>
      </c>
      <c r="K43" s="54" t="s">
        <v>360</v>
      </c>
      <c r="L43" s="58" t="s">
        <v>489</v>
      </c>
      <c r="M43" s="50"/>
      <c r="N43" s="8" t="s">
        <v>449</v>
      </c>
      <c r="O43" s="46" t="str">
        <f>IFERROR(VLOOKUP($C43,二次物料明细!$A:$N,COLUMN(二次物料明细!H$1),),0)</f>
        <v>董培菊</v>
      </c>
      <c r="P43" s="47">
        <f>IFERROR(VLOOKUP($C43,二次物料明细!$A:$N,COLUMN(二次物料明细!I$1),),0)</f>
        <v>0.28</v>
      </c>
      <c r="Q43" s="47">
        <f>IFERROR(VLOOKUP($C43,二次物料明细!$A:$N,COLUMN(二次物料明细!J$1),),0)</f>
        <v>0</v>
      </c>
      <c r="R43" s="47">
        <f>IFERROR(VLOOKUP($C43,二次物料明细!$A:$N,COLUMN(二次物料明细!K$1),),0)</f>
        <v>0</v>
      </c>
      <c r="S43" s="47">
        <f>IFERROR(VLOOKUP($C43,二次物料明细!$A:$N,COLUMN(二次物料明细!L$1),),0)</f>
        <v>0</v>
      </c>
      <c r="T43" s="47">
        <f t="shared" si="2"/>
        <v>0</v>
      </c>
      <c r="U43" s="47">
        <f t="shared" si="3"/>
        <v>0.56</v>
      </c>
      <c r="V43" s="46" t="str">
        <f>IFERROR(VLOOKUP($C43,二次物料明细!$A:$N,COLUMN(二次物料明细!M$1),),0)</f>
        <v>CNY</v>
      </c>
      <c r="W43" s="46" t="str">
        <f>IFERROR(VLOOKUP($C43,二次物料明细!$A:$N,COLUMN(二次物料明细!N$1),),0)</f>
        <v>系统价</v>
      </c>
    </row>
    <row r="44" spans="1:24">
      <c r="A44" s="42">
        <v>6608523073</v>
      </c>
      <c r="B44" s="42" t="s">
        <v>337</v>
      </c>
      <c r="C44" s="59" t="s">
        <v>490</v>
      </c>
      <c r="D44" s="55" t="s">
        <v>491</v>
      </c>
      <c r="E44" s="44"/>
      <c r="F44" s="63" t="s">
        <v>492</v>
      </c>
      <c r="G44" s="44"/>
      <c r="H44" s="44"/>
      <c r="I44" s="44"/>
      <c r="J44" s="44">
        <v>1</v>
      </c>
      <c r="K44" s="54" t="s">
        <v>360</v>
      </c>
      <c r="L44" s="58" t="s">
        <v>489</v>
      </c>
      <c r="M44" s="64"/>
      <c r="N44" s="8" t="s">
        <v>449</v>
      </c>
      <c r="O44" s="46" t="str">
        <f>IFERROR(VLOOKUP($C44,二次物料明细!$A:$N,COLUMN(二次物料明细!H$1),),0)</f>
        <v>董培菊</v>
      </c>
      <c r="P44" s="47">
        <f>IFERROR(VLOOKUP($C44,二次物料明细!$A:$N,COLUMN(二次物料明细!I$1),),0)</f>
        <v>0.06148</v>
      </c>
      <c r="Q44" s="47">
        <f>IFERROR(VLOOKUP($C44,二次物料明细!$A:$N,COLUMN(二次物料明细!J$1),),0)</f>
        <v>0</v>
      </c>
      <c r="R44" s="47">
        <f>IFERROR(VLOOKUP($C44,二次物料明细!$A:$N,COLUMN(二次物料明细!K$1),),0)</f>
        <v>0</v>
      </c>
      <c r="S44" s="47">
        <f>IFERROR(VLOOKUP($C44,二次物料明细!$A:$N,COLUMN(二次物料明细!L$1),),0)</f>
        <v>0</v>
      </c>
      <c r="T44" s="47">
        <f t="shared" si="2"/>
        <v>0</v>
      </c>
      <c r="U44" s="47">
        <f t="shared" si="3"/>
        <v>0.06148</v>
      </c>
      <c r="V44" s="46" t="str">
        <f>IFERROR(VLOOKUP($C44,二次物料明细!$A:$N,COLUMN(二次物料明细!M$1),),0)</f>
        <v>CNY</v>
      </c>
      <c r="W44" s="46" t="str">
        <f>IFERROR(VLOOKUP($C44,二次物料明细!$A:$N,COLUMN(二次物料明细!N$1),),0)</f>
        <v>系统价</v>
      </c>
    </row>
    <row r="45" spans="1:24">
      <c r="A45" s="42">
        <v>6608523073</v>
      </c>
      <c r="B45" s="42" t="s">
        <v>337</v>
      </c>
      <c r="C45" s="59" t="s">
        <v>493</v>
      </c>
      <c r="D45" s="55" t="s">
        <v>494</v>
      </c>
      <c r="E45" s="44" t="s">
        <v>359</v>
      </c>
      <c r="F45" s="63" t="s">
        <v>495</v>
      </c>
      <c r="G45" s="44"/>
      <c r="H45" s="58"/>
      <c r="I45" s="44"/>
      <c r="J45" s="59">
        <v>3.5</v>
      </c>
      <c r="K45" s="44" t="s">
        <v>496</v>
      </c>
      <c r="L45" s="44" t="s">
        <v>497</v>
      </c>
      <c r="M45" s="64"/>
      <c r="N45" s="8" t="s">
        <v>449</v>
      </c>
      <c r="O45" s="46" t="str">
        <f>IFERROR(VLOOKUP($C45,二次物料明细!$A:$N,COLUMN(二次物料明细!H$1),),0)</f>
        <v>郑锦清</v>
      </c>
      <c r="P45" s="47">
        <f>IFERROR(VLOOKUP($C45,二次物料明细!$A:$N,COLUMN(二次物料明细!I$1),),0)</f>
        <v>0</v>
      </c>
      <c r="Q45" s="47">
        <f>IFERROR(VLOOKUP($C45,二次物料明细!$A:$N,COLUMN(二次物料明细!J$1),),0)</f>
        <v>136.33</v>
      </c>
      <c r="R45" s="47">
        <f>IFERROR(VLOOKUP($C45,二次物料明细!$A:$N,COLUMN(二次物料明细!K$1),),0)</f>
        <v>0</v>
      </c>
      <c r="S45" s="47">
        <f>IFERROR(VLOOKUP($C45,二次物料明细!$A:$N,COLUMN(二次物料明细!L$1),),0)</f>
        <v>5311</v>
      </c>
      <c r="T45" s="47">
        <f t="shared" si="2"/>
        <v>8.2066492</v>
      </c>
      <c r="U45" s="47">
        <f t="shared" si="3"/>
        <v>28.7232722</v>
      </c>
      <c r="V45" s="46">
        <f>IFERROR(VLOOKUP($C45,二次物料明细!$A:$N,COLUMN(二次物料明细!M$1),),0)</f>
        <v>0</v>
      </c>
      <c r="W45" s="46" t="str">
        <f>IFERROR(VLOOKUP($C45,二次物料明细!$A:$N,COLUMN(二次物料明细!N$1),),0)</f>
        <v>批量价</v>
      </c>
    </row>
    <row r="46" spans="1:24">
      <c r="A46" s="42">
        <v>6608523073</v>
      </c>
      <c r="B46" s="42" t="s">
        <v>337</v>
      </c>
      <c r="C46" s="55" t="s">
        <v>498</v>
      </c>
      <c r="D46" s="56" t="s">
        <v>499</v>
      </c>
      <c r="E46" s="44" t="s">
        <v>359</v>
      </c>
      <c r="F46" s="63" t="s">
        <v>500</v>
      </c>
      <c r="G46" s="44"/>
      <c r="H46" s="58"/>
      <c r="I46" s="44"/>
      <c r="J46" s="59">
        <v>3.54</v>
      </c>
      <c r="K46" s="44" t="s">
        <v>496</v>
      </c>
      <c r="L46" s="44" t="s">
        <v>501</v>
      </c>
      <c r="M46" s="64"/>
      <c r="N46" s="8" t="s">
        <v>449</v>
      </c>
      <c r="O46" s="46" t="str">
        <f>IFERROR(VLOOKUP($C46,二次物料明细!$A:$N,COLUMN(二次物料明细!H$1),),0)</f>
        <v>郑锦清</v>
      </c>
      <c r="P46" s="47">
        <f>IFERROR(VLOOKUP($C46,二次物料明细!$A:$N,COLUMN(二次物料明细!I$1),),0)</f>
        <v>0</v>
      </c>
      <c r="Q46" s="47">
        <f>IFERROR(VLOOKUP($C46,二次物料明细!$A:$N,COLUMN(二次物料明细!J$1),),0)</f>
        <v>17.68</v>
      </c>
      <c r="R46" s="47">
        <f>IFERROR(VLOOKUP($C46,二次物料明细!$A:$N,COLUMN(二次物料明细!K$1),),0)</f>
        <v>0</v>
      </c>
      <c r="S46" s="47">
        <f>IFERROR(VLOOKUP($C46,二次物料明细!$A:$N,COLUMN(二次物料明细!L$1),),0)</f>
        <v>755.77</v>
      </c>
      <c r="T46" s="47">
        <f t="shared" si="2"/>
        <v>1.1312932</v>
      </c>
      <c r="U46" s="47">
        <f t="shared" si="3"/>
        <v>4.004777928</v>
      </c>
      <c r="V46" s="46">
        <f>IFERROR(VLOOKUP($C46,二次物料明细!$A:$N,COLUMN(二次物料明细!M$1),),0)</f>
        <v>0</v>
      </c>
      <c r="W46" s="46" t="str">
        <f>IFERROR(VLOOKUP($C46,二次物料明细!$A:$N,COLUMN(二次物料明细!N$1),),0)</f>
        <v>批量价</v>
      </c>
    </row>
    <row r="47" spans="1:24">
      <c r="A47" s="42">
        <v>6608523073</v>
      </c>
      <c r="B47" s="42" t="s">
        <v>337</v>
      </c>
      <c r="C47" s="54" t="s">
        <v>502</v>
      </c>
      <c r="D47" s="44" t="s">
        <v>503</v>
      </c>
      <c r="E47" s="44" t="s">
        <v>359</v>
      </c>
      <c r="F47" s="63" t="s">
        <v>504</v>
      </c>
      <c r="G47" s="44"/>
      <c r="H47" s="44"/>
      <c r="I47" s="44"/>
      <c r="J47" s="44">
        <v>0.39</v>
      </c>
      <c r="K47" s="44" t="s">
        <v>496</v>
      </c>
      <c r="L47" s="44" t="s">
        <v>501</v>
      </c>
      <c r="M47" s="64"/>
      <c r="N47" s="8" t="s">
        <v>449</v>
      </c>
      <c r="O47" s="46" t="str">
        <f>IFERROR(VLOOKUP($C47,二次物料明细!$A:$N,COLUMN(二次物料明细!H$1),),0)</f>
        <v>郑锦清</v>
      </c>
      <c r="P47" s="47">
        <f>IFERROR(VLOOKUP($C47,二次物料明细!$A:$N,COLUMN(二次物料明细!I$1),),0)</f>
        <v>0</v>
      </c>
      <c r="Q47" s="47">
        <f>IFERROR(VLOOKUP($C47,二次物料明细!$A:$N,COLUMN(二次物料明细!J$1),),0)</f>
        <v>0</v>
      </c>
      <c r="R47" s="47">
        <f>IFERROR(VLOOKUP($C47,二次物料明细!$A:$N,COLUMN(二次物料明细!K$1),),0)</f>
        <v>55.81</v>
      </c>
      <c r="S47" s="47">
        <f>IFERROR(VLOOKUP($C47,二次物料明细!$A:$N,COLUMN(二次物料明细!L$1),),0)</f>
        <v>450</v>
      </c>
      <c r="T47" s="47">
        <f t="shared" si="2"/>
        <v>5.4790391</v>
      </c>
      <c r="U47" s="47">
        <f t="shared" si="3"/>
        <v>2.136825249</v>
      </c>
      <c r="V47" s="46">
        <f>IFERROR(VLOOKUP($C47,二次物料明细!$A:$N,COLUMN(二次物料明细!M$1),),0)</f>
        <v>0</v>
      </c>
      <c r="W47" s="46" t="str">
        <f>IFERROR(VLOOKUP($C47,二次物料明细!$A:$N,COLUMN(二次物料明细!N$1),),0)</f>
        <v>批量价</v>
      </c>
    </row>
    <row r="48" spans="1:24">
      <c r="A48" s="42">
        <v>6608523073</v>
      </c>
      <c r="B48" s="42" t="s">
        <v>337</v>
      </c>
      <c r="C48" s="54" t="s">
        <v>505</v>
      </c>
      <c r="D48" s="44" t="s">
        <v>506</v>
      </c>
      <c r="E48" s="44" t="s">
        <v>359</v>
      </c>
      <c r="F48" s="63" t="s">
        <v>507</v>
      </c>
      <c r="G48" s="44"/>
      <c r="H48" s="44"/>
      <c r="I48" s="44"/>
      <c r="J48" s="44">
        <v>0.42</v>
      </c>
      <c r="K48" s="44" t="s">
        <v>496</v>
      </c>
      <c r="L48" s="44" t="s">
        <v>501</v>
      </c>
      <c r="M48" s="64"/>
      <c r="N48" s="8" t="s">
        <v>449</v>
      </c>
      <c r="O48" s="46" t="str">
        <f>IFERROR(VLOOKUP($C48,二次物料明细!$A:$N,COLUMN(二次物料明细!H$1),),0)</f>
        <v>郑锦清</v>
      </c>
      <c r="P48" s="47">
        <f>IFERROR(VLOOKUP($C48,二次物料明细!$A:$N,COLUMN(二次物料明细!I$1),),0)</f>
        <v>0</v>
      </c>
      <c r="Q48" s="47">
        <f>IFERROR(VLOOKUP($C48,二次物料明细!$A:$N,COLUMN(二次物料明细!J$1),),0)</f>
        <v>0</v>
      </c>
      <c r="R48" s="47">
        <f>IFERROR(VLOOKUP($C48,二次物料明细!$A:$N,COLUMN(二次物料明细!K$1),),0)</f>
        <v>47.9</v>
      </c>
      <c r="S48" s="47">
        <f>IFERROR(VLOOKUP($C48,二次物料明细!$A:$N,COLUMN(二次物料明细!L$1),),0)</f>
        <v>562.8</v>
      </c>
      <c r="T48" s="47">
        <f t="shared" si="2"/>
        <v>4.879069</v>
      </c>
      <c r="U48" s="47">
        <f t="shared" si="3"/>
        <v>2.04920898</v>
      </c>
      <c r="V48" s="46">
        <f>IFERROR(VLOOKUP($C48,二次物料明细!$A:$N,COLUMN(二次物料明细!M$1),),0)</f>
        <v>0</v>
      </c>
      <c r="W48" s="46" t="str">
        <f>IFERROR(VLOOKUP($C48,二次物料明细!$A:$N,COLUMN(二次物料明细!N$1),),0)</f>
        <v>批量价</v>
      </c>
    </row>
    <row r="49" spans="1:23">
      <c r="A49" s="42">
        <v>6608523073</v>
      </c>
      <c r="B49" s="42" t="s">
        <v>337</v>
      </c>
      <c r="C49" s="54" t="s">
        <v>508</v>
      </c>
      <c r="D49" s="44" t="s">
        <v>509</v>
      </c>
      <c r="E49" s="44" t="s">
        <v>359</v>
      </c>
      <c r="F49" s="63" t="s">
        <v>510</v>
      </c>
      <c r="G49" s="44"/>
      <c r="H49" s="44"/>
      <c r="I49" s="44"/>
      <c r="J49" s="44">
        <v>0.4</v>
      </c>
      <c r="K49" s="44" t="s">
        <v>496</v>
      </c>
      <c r="L49" s="44" t="s">
        <v>511</v>
      </c>
      <c r="M49" s="64"/>
      <c r="N49" s="8" t="s">
        <v>449</v>
      </c>
      <c r="O49" s="46" t="str">
        <f>IFERROR(VLOOKUP($C49,二次物料明细!$A:$N,COLUMN(二次物料明细!H$1),),0)</f>
        <v>郑锦清</v>
      </c>
      <c r="P49" s="47">
        <f>IFERROR(VLOOKUP($C49,二次物料明细!$A:$N,COLUMN(二次物料明细!I$1),),0)</f>
        <v>0</v>
      </c>
      <c r="Q49" s="47">
        <f>IFERROR(VLOOKUP($C49,二次物料明细!$A:$N,COLUMN(二次物料明细!J$1),),0)</f>
        <v>0</v>
      </c>
      <c r="R49" s="47">
        <f>IFERROR(VLOOKUP($C49,二次物料明细!$A:$N,COLUMN(二次物料明细!K$1),),0)</f>
        <v>4.5</v>
      </c>
      <c r="S49" s="47">
        <f>IFERROR(VLOOKUP($C49,二次物料明细!$A:$N,COLUMN(二次物料明细!L$1),),0)</f>
        <v>31.31</v>
      </c>
      <c r="T49" s="47">
        <f t="shared" si="2"/>
        <v>0.436805</v>
      </c>
      <c r="U49" s="47">
        <f t="shared" si="3"/>
        <v>0.174722</v>
      </c>
      <c r="V49" s="46">
        <f>IFERROR(VLOOKUP($C49,二次物料明细!$A:$N,COLUMN(二次物料明细!M$1),),0)</f>
        <v>0</v>
      </c>
      <c r="W49" s="46" t="str">
        <f>IFERROR(VLOOKUP($C49,二次物料明细!$A:$N,COLUMN(二次物料明细!N$1),),0)</f>
        <v>批量价</v>
      </c>
    </row>
    <row r="50" spans="1:23">
      <c r="A50" s="42">
        <v>6608523073</v>
      </c>
      <c r="B50" s="42" t="s">
        <v>337</v>
      </c>
      <c r="C50" s="54" t="s">
        <v>512</v>
      </c>
      <c r="D50" s="44" t="s">
        <v>509</v>
      </c>
      <c r="E50" s="44" t="s">
        <v>359</v>
      </c>
      <c r="F50" s="65" t="s">
        <v>513</v>
      </c>
      <c r="G50" s="44"/>
      <c r="H50" s="44"/>
      <c r="I50" s="44"/>
      <c r="J50" s="44">
        <v>0.4</v>
      </c>
      <c r="K50" s="44" t="s">
        <v>496</v>
      </c>
      <c r="L50" s="44" t="s">
        <v>511</v>
      </c>
      <c r="M50" s="64"/>
      <c r="N50" s="8" t="s">
        <v>449</v>
      </c>
      <c r="O50" s="46" t="str">
        <f>IFERROR(VLOOKUP($C50,二次物料明细!$A:$N,COLUMN(二次物料明细!H$1),),0)</f>
        <v>郑锦清</v>
      </c>
      <c r="P50" s="47">
        <f>IFERROR(VLOOKUP($C50,二次物料明细!$A:$N,COLUMN(二次物料明细!I$1),),0)</f>
        <v>0</v>
      </c>
      <c r="Q50" s="47">
        <f>IFERROR(VLOOKUP($C50,二次物料明细!$A:$N,COLUMN(二次物料明细!J$1),),0)</f>
        <v>0</v>
      </c>
      <c r="R50" s="47">
        <f>IFERROR(VLOOKUP($C50,二次物料明细!$A:$N,COLUMN(二次物料明细!K$1),),0)</f>
        <v>4.5</v>
      </c>
      <c r="S50" s="47">
        <f>IFERROR(VLOOKUP($C50,二次物料明细!$A:$N,COLUMN(二次物料明细!L$1),),0)</f>
        <v>31.31</v>
      </c>
      <c r="T50" s="47">
        <f t="shared" si="2"/>
        <v>0.436805</v>
      </c>
      <c r="U50" s="47">
        <f t="shared" si="3"/>
        <v>0.174722</v>
      </c>
      <c r="V50" s="46">
        <f>IFERROR(VLOOKUP($C50,二次物料明细!$A:$N,COLUMN(二次物料明细!M$1),),0)</f>
        <v>0</v>
      </c>
      <c r="W50" s="46" t="str">
        <f>IFERROR(VLOOKUP($C50,二次物料明细!$A:$N,COLUMN(二次物料明细!N$1),),0)</f>
        <v>批量价</v>
      </c>
    </row>
    <row r="51" spans="1:23">
      <c r="A51" s="42">
        <v>6608523073</v>
      </c>
      <c r="B51" s="42" t="s">
        <v>337</v>
      </c>
      <c r="C51" s="49" t="s">
        <v>514</v>
      </c>
      <c r="D51" s="49" t="s">
        <v>509</v>
      </c>
      <c r="E51" s="66" t="s">
        <v>359</v>
      </c>
      <c r="F51" s="54" t="s">
        <v>515</v>
      </c>
      <c r="G51" s="44"/>
      <c r="H51" s="54"/>
      <c r="I51" s="44"/>
      <c r="J51" s="44">
        <v>0.4</v>
      </c>
      <c r="K51" s="44" t="s">
        <v>496</v>
      </c>
      <c r="L51" s="44" t="s">
        <v>511</v>
      </c>
      <c r="M51" s="50"/>
      <c r="N51" s="8" t="s">
        <v>449</v>
      </c>
      <c r="O51" s="46" t="str">
        <f>IFERROR(VLOOKUP($C51,二次物料明细!$A:$N,COLUMN(二次物料明细!H$1),),0)</f>
        <v>郑锦清</v>
      </c>
      <c r="P51" s="47">
        <f>IFERROR(VLOOKUP($C51,二次物料明细!$A:$N,COLUMN(二次物料明细!I$1),),0)</f>
        <v>0</v>
      </c>
      <c r="Q51" s="47">
        <f>IFERROR(VLOOKUP($C51,二次物料明细!$A:$N,COLUMN(二次物料明细!J$1),),0)</f>
        <v>0</v>
      </c>
      <c r="R51" s="47">
        <f>IFERROR(VLOOKUP($C51,二次物料明细!$A:$N,COLUMN(二次物料明细!K$1),),0)</f>
        <v>4.5</v>
      </c>
      <c r="S51" s="47">
        <f>IFERROR(VLOOKUP($C51,二次物料明细!$A:$N,COLUMN(二次物料明细!L$1),),0)</f>
        <v>31.31</v>
      </c>
      <c r="T51" s="47">
        <f t="shared" si="2"/>
        <v>0.436805</v>
      </c>
      <c r="U51" s="47">
        <f t="shared" si="3"/>
        <v>0.174722</v>
      </c>
      <c r="V51" s="46">
        <f>IFERROR(VLOOKUP($C51,二次物料明细!$A:$N,COLUMN(二次物料明细!M$1),),0)</f>
        <v>0</v>
      </c>
      <c r="W51" s="46" t="str">
        <f>IFERROR(VLOOKUP($C51,二次物料明细!$A:$N,COLUMN(二次物料明细!N$1),),0)</f>
        <v>批量价</v>
      </c>
    </row>
    <row r="52" spans="1:23">
      <c r="A52" s="42">
        <v>6608523073</v>
      </c>
      <c r="B52" s="42" t="s">
        <v>337</v>
      </c>
      <c r="C52" s="50" t="s">
        <v>516</v>
      </c>
      <c r="D52" s="50" t="s">
        <v>509</v>
      </c>
      <c r="E52" s="44" t="s">
        <v>359</v>
      </c>
      <c r="F52" s="54" t="s">
        <v>517</v>
      </c>
      <c r="G52" s="44"/>
      <c r="H52" s="54"/>
      <c r="I52" s="44"/>
      <c r="J52" s="44">
        <v>0.4</v>
      </c>
      <c r="K52" s="44" t="s">
        <v>496</v>
      </c>
      <c r="L52" s="44" t="s">
        <v>511</v>
      </c>
      <c r="M52" s="50"/>
      <c r="N52" s="8" t="s">
        <v>449</v>
      </c>
      <c r="O52" s="46" t="str">
        <f>IFERROR(VLOOKUP($C52,二次物料明细!$A:$N,COLUMN(二次物料明细!H$1),),0)</f>
        <v>郑锦清</v>
      </c>
      <c r="P52" s="47">
        <f>IFERROR(VLOOKUP($C52,二次物料明细!$A:$N,COLUMN(二次物料明细!I$1),),0)</f>
        <v>0</v>
      </c>
      <c r="Q52" s="47">
        <f>IFERROR(VLOOKUP($C52,二次物料明细!$A:$N,COLUMN(二次物料明细!J$1),),0)</f>
        <v>0</v>
      </c>
      <c r="R52" s="47">
        <f>IFERROR(VLOOKUP($C52,二次物料明细!$A:$N,COLUMN(二次物料明细!K$1),),0)</f>
        <v>4.5</v>
      </c>
      <c r="S52" s="47">
        <f>IFERROR(VLOOKUP($C52,二次物料明细!$A:$N,COLUMN(二次物料明细!L$1),),0)</f>
        <v>31.31</v>
      </c>
      <c r="T52" s="47">
        <f t="shared" si="2"/>
        <v>0.436805</v>
      </c>
      <c r="U52" s="47">
        <f t="shared" si="3"/>
        <v>0.174722</v>
      </c>
      <c r="V52" s="46">
        <f>IFERROR(VLOOKUP($C52,二次物料明细!$A:$N,COLUMN(二次物料明细!M$1),),0)</f>
        <v>0</v>
      </c>
      <c r="W52" s="46" t="str">
        <f>IFERROR(VLOOKUP($C52,二次物料明细!$A:$N,COLUMN(二次物料明细!N$1),),0)</f>
        <v>批量价</v>
      </c>
    </row>
    <row r="53" spans="1:23">
      <c r="A53" s="42">
        <v>6608523073</v>
      </c>
      <c r="B53" s="42" t="s">
        <v>337</v>
      </c>
      <c r="C53" s="50" t="s">
        <v>518</v>
      </c>
      <c r="D53" s="50" t="s">
        <v>509</v>
      </c>
      <c r="E53" s="44" t="s">
        <v>359</v>
      </c>
      <c r="F53" s="54" t="s">
        <v>519</v>
      </c>
      <c r="G53" s="44"/>
      <c r="H53" s="54"/>
      <c r="I53" s="44"/>
      <c r="J53" s="44">
        <v>0.4</v>
      </c>
      <c r="K53" s="44" t="s">
        <v>496</v>
      </c>
      <c r="L53" s="44" t="s">
        <v>511</v>
      </c>
      <c r="M53" s="50"/>
      <c r="N53" s="8" t="s">
        <v>449</v>
      </c>
      <c r="O53" s="46" t="str">
        <f>IFERROR(VLOOKUP($C53,二次物料明细!$A:$N,COLUMN(二次物料明细!H$1),),0)</f>
        <v>郑锦清</v>
      </c>
      <c r="P53" s="47">
        <f>IFERROR(VLOOKUP($C53,二次物料明细!$A:$N,COLUMN(二次物料明细!I$1),),0)</f>
        <v>0</v>
      </c>
      <c r="Q53" s="47">
        <f>IFERROR(VLOOKUP($C53,二次物料明细!$A:$N,COLUMN(二次物料明细!J$1),),0)</f>
        <v>0</v>
      </c>
      <c r="R53" s="47">
        <f>IFERROR(VLOOKUP($C53,二次物料明细!$A:$N,COLUMN(二次物料明细!K$1),),0)</f>
        <v>4.5</v>
      </c>
      <c r="S53" s="47">
        <f>IFERROR(VLOOKUP($C53,二次物料明细!$A:$N,COLUMN(二次物料明细!L$1),),0)</f>
        <v>31.31</v>
      </c>
      <c r="T53" s="47">
        <f t="shared" si="2"/>
        <v>0.436805</v>
      </c>
      <c r="U53" s="47">
        <f t="shared" si="3"/>
        <v>0.174722</v>
      </c>
      <c r="V53" s="46">
        <f>IFERROR(VLOOKUP($C53,二次物料明细!$A:$N,COLUMN(二次物料明细!M$1),),0)</f>
        <v>0</v>
      </c>
      <c r="W53" s="46" t="str">
        <f>IFERROR(VLOOKUP($C53,二次物料明细!$A:$N,COLUMN(二次物料明细!N$1),),0)</f>
        <v>批量价</v>
      </c>
    </row>
    <row r="54" spans="1:23">
      <c r="A54" s="42">
        <v>6608523073</v>
      </c>
      <c r="B54" s="42" t="s">
        <v>337</v>
      </c>
      <c r="C54" s="50" t="s">
        <v>520</v>
      </c>
      <c r="D54" s="50" t="s">
        <v>509</v>
      </c>
      <c r="E54" s="44" t="s">
        <v>359</v>
      </c>
      <c r="F54" s="54" t="s">
        <v>521</v>
      </c>
      <c r="G54" s="44"/>
      <c r="H54" s="54"/>
      <c r="I54" s="44"/>
      <c r="J54" s="44">
        <v>0.4</v>
      </c>
      <c r="K54" s="44" t="s">
        <v>496</v>
      </c>
      <c r="L54" s="44" t="s">
        <v>511</v>
      </c>
      <c r="M54" s="50"/>
      <c r="N54" s="8" t="s">
        <v>449</v>
      </c>
      <c r="O54" s="46" t="str">
        <f>IFERROR(VLOOKUP($C54,二次物料明细!$A:$N,COLUMN(二次物料明细!H$1),),0)</f>
        <v>郑锦清</v>
      </c>
      <c r="P54" s="47">
        <f>IFERROR(VLOOKUP($C54,二次物料明细!$A:$N,COLUMN(二次物料明细!I$1),),0)</f>
        <v>0</v>
      </c>
      <c r="Q54" s="47">
        <f>IFERROR(VLOOKUP($C54,二次物料明细!$A:$N,COLUMN(二次物料明细!J$1),),0)</f>
        <v>0</v>
      </c>
      <c r="R54" s="47">
        <f>IFERROR(VLOOKUP($C54,二次物料明细!$A:$N,COLUMN(二次物料明细!K$1),),0)</f>
        <v>4.5</v>
      </c>
      <c r="S54" s="47">
        <f>IFERROR(VLOOKUP($C54,二次物料明细!$A:$N,COLUMN(二次物料明细!L$1),),0)</f>
        <v>31.31</v>
      </c>
      <c r="T54" s="47">
        <f t="shared" si="2"/>
        <v>0.436805</v>
      </c>
      <c r="U54" s="47">
        <f t="shared" si="3"/>
        <v>0.174722</v>
      </c>
      <c r="V54" s="46">
        <f>IFERROR(VLOOKUP($C54,二次物料明细!$A:$N,COLUMN(二次物料明细!M$1),),0)</f>
        <v>0</v>
      </c>
      <c r="W54" s="46" t="str">
        <f>IFERROR(VLOOKUP($C54,二次物料明细!$A:$N,COLUMN(二次物料明细!N$1),),0)</f>
        <v>批量价</v>
      </c>
    </row>
    <row r="55" spans="1:23">
      <c r="A55" s="42">
        <v>6608523073</v>
      </c>
      <c r="B55" s="42" t="s">
        <v>337</v>
      </c>
      <c r="C55" s="59" t="s">
        <v>522</v>
      </c>
      <c r="D55" s="59" t="s">
        <v>509</v>
      </c>
      <c r="E55" s="44" t="s">
        <v>359</v>
      </c>
      <c r="F55" s="44" t="s">
        <v>523</v>
      </c>
      <c r="G55" s="44"/>
      <c r="H55" s="58"/>
      <c r="I55" s="44"/>
      <c r="J55" s="44">
        <v>0.4</v>
      </c>
      <c r="K55" s="44" t="s">
        <v>496</v>
      </c>
      <c r="L55" s="44" t="s">
        <v>511</v>
      </c>
      <c r="M55" s="50"/>
      <c r="N55" s="8" t="s">
        <v>449</v>
      </c>
      <c r="O55" s="46" t="str">
        <f>IFERROR(VLOOKUP($C55,二次物料明细!$A:$N,COLUMN(二次物料明细!H$1),),0)</f>
        <v>郑锦清</v>
      </c>
      <c r="P55" s="47">
        <f>IFERROR(VLOOKUP($C55,二次物料明细!$A:$N,COLUMN(二次物料明细!I$1),),0)</f>
        <v>0</v>
      </c>
      <c r="Q55" s="47">
        <f>IFERROR(VLOOKUP($C55,二次物料明细!$A:$N,COLUMN(二次物料明细!J$1),),0)</f>
        <v>0</v>
      </c>
      <c r="R55" s="47">
        <f>IFERROR(VLOOKUP($C55,二次物料明细!$A:$N,COLUMN(二次物料明细!K$1),),0)</f>
        <v>4.5</v>
      </c>
      <c r="S55" s="47">
        <f>IFERROR(VLOOKUP($C55,二次物料明细!$A:$N,COLUMN(二次物料明细!L$1),),0)</f>
        <v>31.31</v>
      </c>
      <c r="T55" s="47">
        <f t="shared" si="2"/>
        <v>0.436805</v>
      </c>
      <c r="U55" s="47">
        <f t="shared" si="3"/>
        <v>0.174722</v>
      </c>
      <c r="V55" s="46">
        <f>IFERROR(VLOOKUP($C55,二次物料明细!$A:$N,COLUMN(二次物料明细!M$1),),0)</f>
        <v>0</v>
      </c>
      <c r="W55" s="46" t="str">
        <f>IFERROR(VLOOKUP($C55,二次物料明细!$A:$N,COLUMN(二次物料明细!N$1),),0)</f>
        <v>批量价</v>
      </c>
    </row>
    <row r="56" spans="1:23">
      <c r="A56" s="42">
        <v>6608523073</v>
      </c>
      <c r="B56" s="42" t="s">
        <v>337</v>
      </c>
      <c r="C56" s="54" t="s">
        <v>524</v>
      </c>
      <c r="D56" s="44" t="s">
        <v>509</v>
      </c>
      <c r="E56" s="44" t="s">
        <v>359</v>
      </c>
      <c r="F56" s="44" t="s">
        <v>525</v>
      </c>
      <c r="G56" s="44"/>
      <c r="H56" s="44"/>
      <c r="I56" s="44"/>
      <c r="J56" s="44">
        <v>0.4</v>
      </c>
      <c r="K56" s="44" t="s">
        <v>496</v>
      </c>
      <c r="L56" s="44" t="s">
        <v>511</v>
      </c>
      <c r="M56" s="50"/>
      <c r="N56" s="8" t="s">
        <v>449</v>
      </c>
      <c r="O56" s="46" t="str">
        <f>IFERROR(VLOOKUP($C56,二次物料明细!$A:$N,COLUMN(二次物料明细!H$1),),0)</f>
        <v>郑锦清</v>
      </c>
      <c r="P56" s="47">
        <f>IFERROR(VLOOKUP($C56,二次物料明细!$A:$N,COLUMN(二次物料明细!I$1),),0)</f>
        <v>0</v>
      </c>
      <c r="Q56" s="47">
        <f>IFERROR(VLOOKUP($C56,二次物料明细!$A:$N,COLUMN(二次物料明细!J$1),),0)</f>
        <v>0</v>
      </c>
      <c r="R56" s="47">
        <f>IFERROR(VLOOKUP($C56,二次物料明细!$A:$N,COLUMN(二次物料明细!K$1),),0)</f>
        <v>4.5</v>
      </c>
      <c r="S56" s="47">
        <f>IFERROR(VLOOKUP($C56,二次物料明细!$A:$N,COLUMN(二次物料明细!L$1),),0)</f>
        <v>31.31</v>
      </c>
      <c r="T56" s="47">
        <f t="shared" si="2"/>
        <v>0.436805</v>
      </c>
      <c r="U56" s="47">
        <f t="shared" si="3"/>
        <v>0.174722</v>
      </c>
      <c r="V56" s="46">
        <f>IFERROR(VLOOKUP($C56,二次物料明细!$A:$N,COLUMN(二次物料明细!M$1),),0)</f>
        <v>0</v>
      </c>
      <c r="W56" s="46" t="str">
        <f>IFERROR(VLOOKUP($C56,二次物料明细!$A:$N,COLUMN(二次物料明细!N$1),),0)</f>
        <v>批量价</v>
      </c>
    </row>
    <row r="57" spans="1:23">
      <c r="A57" s="42">
        <v>6608523073</v>
      </c>
      <c r="B57" s="42" t="s">
        <v>337</v>
      </c>
      <c r="C57" s="59" t="s">
        <v>526</v>
      </c>
      <c r="D57" s="56" t="s">
        <v>509</v>
      </c>
      <c r="E57" s="44" t="s">
        <v>359</v>
      </c>
      <c r="F57" s="67" t="s">
        <v>527</v>
      </c>
      <c r="G57" s="44"/>
      <c r="H57" s="44"/>
      <c r="I57" s="44"/>
      <c r="J57" s="44">
        <v>0.4</v>
      </c>
      <c r="K57" s="44" t="s">
        <v>496</v>
      </c>
      <c r="L57" s="44" t="s">
        <v>511</v>
      </c>
      <c r="M57" s="50"/>
      <c r="N57" s="8" t="s">
        <v>449</v>
      </c>
      <c r="O57" s="46" t="str">
        <f>IFERROR(VLOOKUP($C57,二次物料明细!$A:$N,COLUMN(二次物料明细!H$1),),0)</f>
        <v>郑锦清</v>
      </c>
      <c r="P57" s="47">
        <f>IFERROR(VLOOKUP($C57,二次物料明细!$A:$N,COLUMN(二次物料明细!I$1),),0)</f>
        <v>0</v>
      </c>
      <c r="Q57" s="47">
        <f>IFERROR(VLOOKUP($C57,二次物料明细!$A:$N,COLUMN(二次物料明细!J$1),),0)</f>
        <v>0</v>
      </c>
      <c r="R57" s="47">
        <f>IFERROR(VLOOKUP($C57,二次物料明细!$A:$N,COLUMN(二次物料明细!K$1),),0)</f>
        <v>4.5</v>
      </c>
      <c r="S57" s="47">
        <f>IFERROR(VLOOKUP($C57,二次物料明细!$A:$N,COLUMN(二次物料明细!L$1),),0)</f>
        <v>31.31</v>
      </c>
      <c r="T57" s="47">
        <f t="shared" si="2"/>
        <v>0.436805</v>
      </c>
      <c r="U57" s="47">
        <f t="shared" si="3"/>
        <v>0.174722</v>
      </c>
      <c r="V57" s="46">
        <f>IFERROR(VLOOKUP($C57,二次物料明细!$A:$N,COLUMN(二次物料明细!M$1),),0)</f>
        <v>0</v>
      </c>
      <c r="W57" s="46" t="str">
        <f>IFERROR(VLOOKUP($C57,二次物料明细!$A:$N,COLUMN(二次物料明细!N$1),),0)</f>
        <v>批量价</v>
      </c>
    </row>
    <row r="58" spans="1:23">
      <c r="A58" s="42">
        <v>6608523073</v>
      </c>
      <c r="B58" s="42" t="s">
        <v>337</v>
      </c>
      <c r="C58" s="54" t="s">
        <v>528</v>
      </c>
      <c r="D58" s="56" t="s">
        <v>509</v>
      </c>
      <c r="E58" s="44" t="s">
        <v>359</v>
      </c>
      <c r="F58" s="58" t="s">
        <v>529</v>
      </c>
      <c r="G58" s="44"/>
      <c r="H58" s="44"/>
      <c r="I58" s="44"/>
      <c r="J58" s="44">
        <v>0.4</v>
      </c>
      <c r="K58" s="44" t="s">
        <v>496</v>
      </c>
      <c r="L58" s="44" t="s">
        <v>511</v>
      </c>
      <c r="M58" s="50"/>
      <c r="N58" s="8" t="s">
        <v>449</v>
      </c>
      <c r="O58" s="46" t="str">
        <f>IFERROR(VLOOKUP($C58,二次物料明细!$A:$N,COLUMN(二次物料明细!H$1),),0)</f>
        <v>郑锦清</v>
      </c>
      <c r="P58" s="47">
        <f>IFERROR(VLOOKUP($C58,二次物料明细!$A:$N,COLUMN(二次物料明细!I$1),),0)</f>
        <v>0</v>
      </c>
      <c r="Q58" s="47">
        <f>IFERROR(VLOOKUP($C58,二次物料明细!$A:$N,COLUMN(二次物料明细!J$1),),0)</f>
        <v>0</v>
      </c>
      <c r="R58" s="47">
        <f>IFERROR(VLOOKUP($C58,二次物料明细!$A:$N,COLUMN(二次物料明细!K$1),),0)</f>
        <v>4.5</v>
      </c>
      <c r="S58" s="47">
        <f>IFERROR(VLOOKUP($C58,二次物料明细!$A:$N,COLUMN(二次物料明细!L$1),),0)</f>
        <v>31.31</v>
      </c>
      <c r="T58" s="47">
        <f t="shared" si="2"/>
        <v>0.436805</v>
      </c>
      <c r="U58" s="47">
        <f t="shared" si="3"/>
        <v>0.174722</v>
      </c>
      <c r="V58" s="46">
        <f>IFERROR(VLOOKUP($C58,二次物料明细!$A:$N,COLUMN(二次物料明细!M$1),),0)</f>
        <v>0</v>
      </c>
      <c r="W58" s="46" t="str">
        <f>IFERROR(VLOOKUP($C58,二次物料明细!$A:$N,COLUMN(二次物料明细!N$1),),0)</f>
        <v>批量价</v>
      </c>
    </row>
    <row r="59" spans="1:23">
      <c r="A59" s="42">
        <v>6608523073</v>
      </c>
      <c r="B59" s="42" t="s">
        <v>337</v>
      </c>
      <c r="C59" s="59" t="s">
        <v>530</v>
      </c>
      <c r="D59" s="59" t="s">
        <v>509</v>
      </c>
      <c r="E59" s="44" t="s">
        <v>359</v>
      </c>
      <c r="F59" s="59" t="s">
        <v>531</v>
      </c>
      <c r="G59" s="44"/>
      <c r="H59" s="59"/>
      <c r="I59" s="44"/>
      <c r="J59" s="44">
        <v>0.4</v>
      </c>
      <c r="K59" s="44" t="s">
        <v>496</v>
      </c>
      <c r="L59" s="44" t="s">
        <v>511</v>
      </c>
      <c r="M59" s="50"/>
      <c r="N59" s="8" t="s">
        <v>449</v>
      </c>
      <c r="O59" s="46" t="str">
        <f>IFERROR(VLOOKUP($C59,二次物料明细!$A:$N,COLUMN(二次物料明细!H$1),),0)</f>
        <v>郑锦清</v>
      </c>
      <c r="P59" s="47">
        <f>IFERROR(VLOOKUP($C59,二次物料明细!$A:$N,COLUMN(二次物料明细!I$1),),0)</f>
        <v>0</v>
      </c>
      <c r="Q59" s="47">
        <f>IFERROR(VLOOKUP($C59,二次物料明细!$A:$N,COLUMN(二次物料明细!J$1),),0)</f>
        <v>0</v>
      </c>
      <c r="R59" s="47">
        <f>IFERROR(VLOOKUP($C59,二次物料明细!$A:$N,COLUMN(二次物料明细!K$1),),0)</f>
        <v>4.5</v>
      </c>
      <c r="S59" s="47">
        <f>IFERROR(VLOOKUP($C59,二次物料明细!$A:$N,COLUMN(二次物料明细!L$1),),0)</f>
        <v>31.31</v>
      </c>
      <c r="T59" s="47">
        <f t="shared" si="2"/>
        <v>0.436805</v>
      </c>
      <c r="U59" s="47">
        <f t="shared" si="3"/>
        <v>0.174722</v>
      </c>
      <c r="V59" s="46">
        <f>IFERROR(VLOOKUP($C59,二次物料明细!$A:$N,COLUMN(二次物料明细!M$1),),0)</f>
        <v>0</v>
      </c>
      <c r="W59" s="46" t="str">
        <f>IFERROR(VLOOKUP($C59,二次物料明细!$A:$N,COLUMN(二次物料明细!N$1),),0)</f>
        <v>批量价</v>
      </c>
    </row>
    <row r="60" spans="1:23">
      <c r="A60" s="42">
        <v>6608523073</v>
      </c>
      <c r="B60" s="42" t="s">
        <v>337</v>
      </c>
      <c r="C60" s="59" t="s">
        <v>532</v>
      </c>
      <c r="D60" s="59" t="s">
        <v>509</v>
      </c>
      <c r="E60" s="44" t="s">
        <v>359</v>
      </c>
      <c r="F60" s="59" t="s">
        <v>533</v>
      </c>
      <c r="G60" s="44"/>
      <c r="H60" s="59"/>
      <c r="I60" s="44"/>
      <c r="J60" s="44">
        <v>0.4</v>
      </c>
      <c r="K60" s="44" t="s">
        <v>496</v>
      </c>
      <c r="L60" s="44" t="s">
        <v>511</v>
      </c>
      <c r="M60" s="50"/>
      <c r="N60" s="8" t="s">
        <v>449</v>
      </c>
      <c r="O60" s="46" t="str">
        <f>IFERROR(VLOOKUP($C60,二次物料明细!$A:$N,COLUMN(二次物料明细!H$1),),0)</f>
        <v>郑锦清</v>
      </c>
      <c r="P60" s="47">
        <f>IFERROR(VLOOKUP($C60,二次物料明细!$A:$N,COLUMN(二次物料明细!I$1),),0)</f>
        <v>0</v>
      </c>
      <c r="Q60" s="47">
        <f>IFERROR(VLOOKUP($C60,二次物料明细!$A:$N,COLUMN(二次物料明细!J$1),),0)</f>
        <v>0</v>
      </c>
      <c r="R60" s="47">
        <f>IFERROR(VLOOKUP($C60,二次物料明细!$A:$N,COLUMN(二次物料明细!K$1),),0)</f>
        <v>4.5</v>
      </c>
      <c r="S60" s="47">
        <f>IFERROR(VLOOKUP($C60,二次物料明细!$A:$N,COLUMN(二次物料明细!L$1),),0)</f>
        <v>31.31</v>
      </c>
      <c r="T60" s="47">
        <f t="shared" si="2"/>
        <v>0.436805</v>
      </c>
      <c r="U60" s="47">
        <f t="shared" si="3"/>
        <v>0.174722</v>
      </c>
      <c r="V60" s="46">
        <f>IFERROR(VLOOKUP($C60,二次物料明细!$A:$N,COLUMN(二次物料明细!M$1),),0)</f>
        <v>0</v>
      </c>
      <c r="W60" s="46" t="str">
        <f>IFERROR(VLOOKUP($C60,二次物料明细!$A:$N,COLUMN(二次物料明细!N$1),),0)</f>
        <v>批量价</v>
      </c>
    </row>
    <row r="61" spans="1:23">
      <c r="A61" s="42">
        <v>6608523073</v>
      </c>
      <c r="B61" s="42" t="s">
        <v>337</v>
      </c>
      <c r="C61" s="56" t="s">
        <v>534</v>
      </c>
      <c r="D61" s="59" t="s">
        <v>509</v>
      </c>
      <c r="E61" s="44" t="s">
        <v>359</v>
      </c>
      <c r="F61" s="68" t="s">
        <v>535</v>
      </c>
      <c r="G61" s="44"/>
      <c r="H61" s="58"/>
      <c r="I61" s="44"/>
      <c r="J61" s="44">
        <v>0.4</v>
      </c>
      <c r="K61" s="44" t="s">
        <v>496</v>
      </c>
      <c r="L61" s="44" t="s">
        <v>511</v>
      </c>
      <c r="M61" s="50"/>
      <c r="N61" s="8" t="s">
        <v>449</v>
      </c>
      <c r="O61" s="46" t="str">
        <f>IFERROR(VLOOKUP($C61,二次物料明细!$A:$N,COLUMN(二次物料明细!H$1),),0)</f>
        <v>郑锦清</v>
      </c>
      <c r="P61" s="47">
        <f>IFERROR(VLOOKUP($C61,二次物料明细!$A:$N,COLUMN(二次物料明细!I$1),),0)</f>
        <v>0</v>
      </c>
      <c r="Q61" s="47">
        <f>IFERROR(VLOOKUP($C61,二次物料明细!$A:$N,COLUMN(二次物料明细!J$1),),0)</f>
        <v>0</v>
      </c>
      <c r="R61" s="47">
        <f>IFERROR(VLOOKUP($C61,二次物料明细!$A:$N,COLUMN(二次物料明细!K$1),),0)</f>
        <v>4.5</v>
      </c>
      <c r="S61" s="47">
        <f>IFERROR(VLOOKUP($C61,二次物料明细!$A:$N,COLUMN(二次物料明细!L$1),),0)</f>
        <v>31.31</v>
      </c>
      <c r="T61" s="47">
        <f t="shared" si="2"/>
        <v>0.436805</v>
      </c>
      <c r="U61" s="47">
        <f t="shared" si="3"/>
        <v>0.174722</v>
      </c>
      <c r="V61" s="46">
        <f>IFERROR(VLOOKUP($C61,二次物料明细!$A:$N,COLUMN(二次物料明细!M$1),),0)</f>
        <v>0</v>
      </c>
      <c r="W61" s="46" t="str">
        <f>IFERROR(VLOOKUP($C61,二次物料明细!$A:$N,COLUMN(二次物料明细!N$1),),0)</f>
        <v>批量价</v>
      </c>
    </row>
    <row r="62" spans="1:23">
      <c r="A62" s="42">
        <v>6608523073</v>
      </c>
      <c r="B62" s="42" t="s">
        <v>337</v>
      </c>
      <c r="C62" s="69" t="s">
        <v>536</v>
      </c>
      <c r="D62" s="59" t="s">
        <v>509</v>
      </c>
      <c r="E62" s="44" t="s">
        <v>359</v>
      </c>
      <c r="F62" s="70" t="s">
        <v>537</v>
      </c>
      <c r="G62" s="44"/>
      <c r="H62" s="44"/>
      <c r="I62" s="44"/>
      <c r="J62" s="44">
        <v>0.4</v>
      </c>
      <c r="K62" s="44" t="s">
        <v>496</v>
      </c>
      <c r="L62" s="44" t="s">
        <v>511</v>
      </c>
      <c r="M62" s="50"/>
      <c r="N62" s="8" t="s">
        <v>449</v>
      </c>
      <c r="O62" s="46" t="str">
        <f>IFERROR(VLOOKUP($C62,二次物料明细!$A:$N,COLUMN(二次物料明细!H$1),),0)</f>
        <v>郑锦清</v>
      </c>
      <c r="P62" s="47">
        <f>IFERROR(VLOOKUP($C62,二次物料明细!$A:$N,COLUMN(二次物料明细!I$1),),0)</f>
        <v>0</v>
      </c>
      <c r="Q62" s="47">
        <f>IFERROR(VLOOKUP($C62,二次物料明细!$A:$N,COLUMN(二次物料明细!J$1),),0)</f>
        <v>0</v>
      </c>
      <c r="R62" s="47">
        <f>IFERROR(VLOOKUP($C62,二次物料明细!$A:$N,COLUMN(二次物料明细!K$1),),0)</f>
        <v>4.5</v>
      </c>
      <c r="S62" s="47">
        <f>IFERROR(VLOOKUP($C62,二次物料明细!$A:$N,COLUMN(二次物料明细!L$1),),0)</f>
        <v>31.31</v>
      </c>
      <c r="T62" s="47">
        <f t="shared" si="2"/>
        <v>0.436805</v>
      </c>
      <c r="U62" s="47">
        <f t="shared" si="3"/>
        <v>0.174722</v>
      </c>
      <c r="V62" s="46">
        <f>IFERROR(VLOOKUP($C62,二次物料明细!$A:$N,COLUMN(二次物料明细!M$1),),0)</f>
        <v>0</v>
      </c>
      <c r="W62" s="46" t="str">
        <f>IFERROR(VLOOKUP($C62,二次物料明细!$A:$N,COLUMN(二次物料明细!N$1),),0)</f>
        <v>批量价</v>
      </c>
    </row>
    <row r="63" spans="1:23">
      <c r="A63" s="42">
        <v>6608523073</v>
      </c>
      <c r="B63" s="42" t="s">
        <v>337</v>
      </c>
      <c r="C63" s="71" t="s">
        <v>538</v>
      </c>
      <c r="D63" s="59" t="s">
        <v>509</v>
      </c>
      <c r="E63" s="44" t="s">
        <v>359</v>
      </c>
      <c r="F63" s="56" t="s">
        <v>539</v>
      </c>
      <c r="G63" s="44"/>
      <c r="H63" s="44"/>
      <c r="I63" s="44"/>
      <c r="J63" s="44">
        <v>0.4</v>
      </c>
      <c r="K63" s="44" t="s">
        <v>496</v>
      </c>
      <c r="L63" s="44" t="s">
        <v>511</v>
      </c>
      <c r="M63" s="50"/>
      <c r="N63" s="8" t="s">
        <v>449</v>
      </c>
      <c r="O63" s="46" t="str">
        <f>IFERROR(VLOOKUP($C63,二次物料明细!$A:$N,COLUMN(二次物料明细!H$1),),0)</f>
        <v>郑锦清</v>
      </c>
      <c r="P63" s="47">
        <f>IFERROR(VLOOKUP($C63,二次物料明细!$A:$N,COLUMN(二次物料明细!I$1),),0)</f>
        <v>0</v>
      </c>
      <c r="Q63" s="47">
        <f>IFERROR(VLOOKUP($C63,二次物料明细!$A:$N,COLUMN(二次物料明细!J$1),),0)</f>
        <v>0</v>
      </c>
      <c r="R63" s="47">
        <f>IFERROR(VLOOKUP($C63,二次物料明细!$A:$N,COLUMN(二次物料明细!K$1),),0)</f>
        <v>4.5</v>
      </c>
      <c r="S63" s="47">
        <f>IFERROR(VLOOKUP($C63,二次物料明细!$A:$N,COLUMN(二次物料明细!L$1),),0)</f>
        <v>31.31</v>
      </c>
      <c r="T63" s="47">
        <f t="shared" si="2"/>
        <v>0.436805</v>
      </c>
      <c r="U63" s="47">
        <f t="shared" si="3"/>
        <v>0.174722</v>
      </c>
      <c r="V63" s="46">
        <f>IFERROR(VLOOKUP($C63,二次物料明细!$A:$N,COLUMN(二次物料明细!M$1),),0)</f>
        <v>0</v>
      </c>
      <c r="W63" s="46" t="str">
        <f>IFERROR(VLOOKUP($C63,二次物料明细!$A:$N,COLUMN(二次物料明细!N$1),),0)</f>
        <v>批量价</v>
      </c>
    </row>
    <row r="64" spans="1:23">
      <c r="A64" s="42">
        <v>6608523073</v>
      </c>
      <c r="B64" s="42" t="s">
        <v>337</v>
      </c>
      <c r="C64" s="54" t="s">
        <v>540</v>
      </c>
      <c r="D64" s="59" t="s">
        <v>509</v>
      </c>
      <c r="E64" s="44" t="s">
        <v>359</v>
      </c>
      <c r="F64" s="44" t="s">
        <v>541</v>
      </c>
      <c r="G64" s="44"/>
      <c r="H64" s="44"/>
      <c r="I64" s="44"/>
      <c r="J64" s="44">
        <v>0.6</v>
      </c>
      <c r="K64" s="44" t="s">
        <v>496</v>
      </c>
      <c r="L64" s="44" t="s">
        <v>511</v>
      </c>
      <c r="M64" s="50"/>
      <c r="N64" s="8" t="s">
        <v>449</v>
      </c>
      <c r="O64" s="46" t="str">
        <f>IFERROR(VLOOKUP($C64,二次物料明细!$A:$N,COLUMN(二次物料明细!H$1),),0)</f>
        <v>郑锦清</v>
      </c>
      <c r="P64" s="47">
        <f>IFERROR(VLOOKUP($C64,二次物料明细!$A:$N,COLUMN(二次物料明细!I$1),),0)</f>
        <v>0</v>
      </c>
      <c r="Q64" s="47">
        <f>IFERROR(VLOOKUP($C64,二次物料明细!$A:$N,COLUMN(二次物料明细!J$1),),0)</f>
        <v>0</v>
      </c>
      <c r="R64" s="47">
        <f>IFERROR(VLOOKUP($C64,二次物料明细!$A:$N,COLUMN(二次物料明细!K$1),),0)</f>
        <v>4.5</v>
      </c>
      <c r="S64" s="47">
        <f>IFERROR(VLOOKUP($C64,二次物料明细!$A:$N,COLUMN(二次物料明细!L$1),),0)</f>
        <v>31.31</v>
      </c>
      <c r="T64" s="47">
        <f t="shared" si="2"/>
        <v>0.436805</v>
      </c>
      <c r="U64" s="47">
        <f t="shared" si="3"/>
        <v>0.262083</v>
      </c>
      <c r="V64" s="46">
        <f>IFERROR(VLOOKUP($C64,二次物料明细!$A:$N,COLUMN(二次物料明细!M$1),),0)</f>
        <v>0</v>
      </c>
      <c r="W64" s="46" t="str">
        <f>IFERROR(VLOOKUP($C64,二次物料明细!$A:$N,COLUMN(二次物料明细!N$1),),0)</f>
        <v>批量价</v>
      </c>
    </row>
    <row r="65" spans="1:24">
      <c r="A65" s="42">
        <v>6608523073</v>
      </c>
      <c r="B65" s="42" t="s">
        <v>337</v>
      </c>
      <c r="C65" s="72" t="s">
        <v>542</v>
      </c>
      <c r="D65" s="59" t="s">
        <v>509</v>
      </c>
      <c r="E65" s="44" t="s">
        <v>359</v>
      </c>
      <c r="F65" s="44" t="s">
        <v>543</v>
      </c>
      <c r="G65" s="44"/>
      <c r="H65" s="44"/>
      <c r="I65" s="44"/>
      <c r="J65" s="44">
        <v>0.4</v>
      </c>
      <c r="K65" s="44" t="s">
        <v>496</v>
      </c>
      <c r="L65" s="44" t="s">
        <v>511</v>
      </c>
      <c r="M65" s="50"/>
      <c r="N65" s="8" t="s">
        <v>449</v>
      </c>
      <c r="O65" s="46" t="str">
        <f>IFERROR(VLOOKUP($C65,二次物料明细!$A:$N,COLUMN(二次物料明细!H$1),),0)</f>
        <v>郑锦清</v>
      </c>
      <c r="P65" s="47">
        <f>IFERROR(VLOOKUP($C65,二次物料明细!$A:$N,COLUMN(二次物料明细!I$1),),0)</f>
        <v>0</v>
      </c>
      <c r="Q65" s="47">
        <f>IFERROR(VLOOKUP($C65,二次物料明细!$A:$N,COLUMN(二次物料明细!J$1),),0)</f>
        <v>0</v>
      </c>
      <c r="R65" s="47">
        <f>IFERROR(VLOOKUP($C65,二次物料明细!$A:$N,COLUMN(二次物料明细!K$1),),0)</f>
        <v>4.5</v>
      </c>
      <c r="S65" s="47">
        <f>IFERROR(VLOOKUP($C65,二次物料明细!$A:$N,COLUMN(二次物料明细!L$1),),0)</f>
        <v>31.31</v>
      </c>
      <c r="T65" s="47">
        <f t="shared" si="2"/>
        <v>0.436805</v>
      </c>
      <c r="U65" s="47">
        <f t="shared" si="3"/>
        <v>0.174722</v>
      </c>
      <c r="V65" s="46">
        <f>IFERROR(VLOOKUP($C65,二次物料明细!$A:$N,COLUMN(二次物料明细!M$1),),0)</f>
        <v>0</v>
      </c>
      <c r="W65" s="46" t="str">
        <f>IFERROR(VLOOKUP($C65,二次物料明细!$A:$N,COLUMN(二次物料明细!N$1),),0)</f>
        <v>批量价</v>
      </c>
    </row>
    <row r="66" spans="1:24">
      <c r="A66" s="42">
        <v>6608523073</v>
      </c>
      <c r="B66" s="42" t="s">
        <v>337</v>
      </c>
      <c r="C66" s="59" t="s">
        <v>544</v>
      </c>
      <c r="D66" s="73" t="s">
        <v>545</v>
      </c>
      <c r="E66" s="44" t="s">
        <v>359</v>
      </c>
      <c r="F66" s="73" t="s">
        <v>546</v>
      </c>
      <c r="G66" s="44"/>
      <c r="H66" s="58"/>
      <c r="I66" s="44"/>
      <c r="J66" s="59">
        <v>2.62</v>
      </c>
      <c r="K66" s="44" t="s">
        <v>496</v>
      </c>
      <c r="L66" s="44" t="s">
        <v>547</v>
      </c>
      <c r="M66" s="50"/>
      <c r="N66" s="8" t="s">
        <v>449</v>
      </c>
      <c r="O66" s="46" t="str">
        <f>IFERROR(VLOOKUP($C66,二次物料明细!$A:$N,COLUMN(二次物料明细!H$1),),0)</f>
        <v>董培菊</v>
      </c>
      <c r="P66" s="47">
        <f>IFERROR(VLOOKUP($C66,二次物料明细!$A:$N,COLUMN(二次物料明细!I$1),),0)</f>
        <v>0.77</v>
      </c>
      <c r="Q66" s="47">
        <f>IFERROR(VLOOKUP($C66,二次物料明细!$A:$N,COLUMN(二次物料明细!J$1),),0)</f>
        <v>0</v>
      </c>
      <c r="R66" s="47">
        <f>IFERROR(VLOOKUP($C66,二次物料明细!$A:$N,COLUMN(二次物料明细!K$1),),0)</f>
        <v>0</v>
      </c>
      <c r="S66" s="47">
        <f>IFERROR(VLOOKUP($C66,二次物料明细!$A:$N,COLUMN(二次物料明细!L$1),),0)</f>
        <v>0</v>
      </c>
      <c r="T66" s="47">
        <f t="shared" si="2"/>
        <v>0</v>
      </c>
      <c r="U66" s="47">
        <f t="shared" si="3"/>
        <v>2.0174</v>
      </c>
      <c r="V66" s="46" t="str">
        <f>IFERROR(VLOOKUP($C66,二次物料明细!$A:$N,COLUMN(二次物料明细!M$1),),0)</f>
        <v>CNY</v>
      </c>
      <c r="W66" s="46" t="str">
        <f>IFERROR(VLOOKUP($C66,二次物料明细!$A:$N,COLUMN(二次物料明细!N$1),),0)</f>
        <v>系统价</v>
      </c>
      <c r="X66" s="34"/>
    </row>
    <row r="67" spans="1:24">
      <c r="A67" s="42">
        <v>6608523073</v>
      </c>
      <c r="B67" s="42" t="s">
        <v>337</v>
      </c>
      <c r="C67" s="59" t="s">
        <v>548</v>
      </c>
      <c r="D67" s="73" t="s">
        <v>549</v>
      </c>
      <c r="E67" s="44" t="s">
        <v>359</v>
      </c>
      <c r="F67" s="73" t="s">
        <v>550</v>
      </c>
      <c r="G67" s="44"/>
      <c r="H67" s="58"/>
      <c r="I67" s="44"/>
      <c r="J67" s="59">
        <v>0.3</v>
      </c>
      <c r="K67" s="66" t="s">
        <v>496</v>
      </c>
      <c r="L67" s="44" t="s">
        <v>551</v>
      </c>
      <c r="M67" s="50"/>
      <c r="N67" s="8" t="s">
        <v>449</v>
      </c>
      <c r="O67" s="46" t="str">
        <f>IFERROR(VLOOKUP($C67,二次物料明细!$A:$N,COLUMN(二次物料明细!H$1),),0)</f>
        <v>董培菊</v>
      </c>
      <c r="P67" s="47">
        <f>IFERROR(VLOOKUP($C67,二次物料明细!$A:$N,COLUMN(二次物料明细!I$1),),0)</f>
        <v>1.027</v>
      </c>
      <c r="Q67" s="47">
        <f>IFERROR(VLOOKUP($C67,二次物料明细!$A:$N,COLUMN(二次物料明细!J$1),),0)</f>
        <v>0</v>
      </c>
      <c r="R67" s="47">
        <f>IFERROR(VLOOKUP($C67,二次物料明细!$A:$N,COLUMN(二次物料明细!K$1),),0)</f>
        <v>0</v>
      </c>
      <c r="S67" s="47">
        <f>IFERROR(VLOOKUP($C67,二次物料明细!$A:$N,COLUMN(二次物料明细!L$1),),0)</f>
        <v>0</v>
      </c>
      <c r="T67" s="47">
        <f t="shared" ref="T67:T112" si="4">(R67*90.11+Q67*21.24+S67)/1000</f>
        <v>0</v>
      </c>
      <c r="U67" s="47">
        <f t="shared" ref="U67:U112" si="5">(P67+T67)*J67</f>
        <v>0.3081</v>
      </c>
      <c r="V67" s="46" t="str">
        <f>IFERROR(VLOOKUP($C67,二次物料明细!$A:$N,COLUMN(二次物料明细!M$1),),0)</f>
        <v>CNY</v>
      </c>
      <c r="W67" s="46" t="str">
        <f>IFERROR(VLOOKUP($C67,二次物料明细!$A:$N,COLUMN(二次物料明细!N$1),),0)</f>
        <v>系统价</v>
      </c>
      <c r="X67" s="34"/>
    </row>
    <row r="68" spans="1:24">
      <c r="A68" s="42">
        <v>6608523073</v>
      </c>
      <c r="B68" s="42" t="s">
        <v>337</v>
      </c>
      <c r="C68" s="73" t="s">
        <v>552</v>
      </c>
      <c r="D68" s="73" t="s">
        <v>553</v>
      </c>
      <c r="E68" s="44" t="s">
        <v>359</v>
      </c>
      <c r="F68" s="73" t="s">
        <v>554</v>
      </c>
      <c r="G68" s="44"/>
      <c r="H68" s="58"/>
      <c r="I68" s="44"/>
      <c r="J68" s="59">
        <v>1.49</v>
      </c>
      <c r="K68" s="74" t="s">
        <v>496</v>
      </c>
      <c r="L68" s="44" t="s">
        <v>547</v>
      </c>
      <c r="M68" s="50"/>
      <c r="N68" s="8" t="s">
        <v>449</v>
      </c>
      <c r="O68" s="46" t="str">
        <f>IFERROR(VLOOKUP($C68,二次物料明细!$A:$N,COLUMN(二次物料明细!H$1),),0)</f>
        <v>董培菊</v>
      </c>
      <c r="P68" s="47">
        <f>IFERROR(VLOOKUP($C68,二次物料明细!$A:$N,COLUMN(二次物料明细!I$1),),0)</f>
        <v>0.62</v>
      </c>
      <c r="Q68" s="47">
        <f>IFERROR(VLOOKUP($C68,二次物料明细!$A:$N,COLUMN(二次物料明细!J$1),),0)</f>
        <v>0</v>
      </c>
      <c r="R68" s="47">
        <f>IFERROR(VLOOKUP($C68,二次物料明细!$A:$N,COLUMN(二次物料明细!K$1),),0)</f>
        <v>0</v>
      </c>
      <c r="S68" s="47">
        <f>IFERROR(VLOOKUP($C68,二次物料明细!$A:$N,COLUMN(二次物料明细!L$1),),0)</f>
        <v>0</v>
      </c>
      <c r="T68" s="47">
        <f t="shared" si="4"/>
        <v>0</v>
      </c>
      <c r="U68" s="47">
        <f t="shared" si="5"/>
        <v>0.9238</v>
      </c>
      <c r="V68" s="46" t="str">
        <f>IFERROR(VLOOKUP($C68,二次物料明细!$A:$N,COLUMN(二次物料明细!M$1),),0)</f>
        <v>CNY</v>
      </c>
      <c r="W68" s="46" t="str">
        <f>IFERROR(VLOOKUP($C68,二次物料明细!$A:$N,COLUMN(二次物料明细!N$1),),0)</f>
        <v>系统价</v>
      </c>
      <c r="X68" s="34"/>
    </row>
    <row r="69" spans="1:24">
      <c r="A69" s="42">
        <v>6608523073</v>
      </c>
      <c r="B69" s="42" t="s">
        <v>337</v>
      </c>
      <c r="C69" s="74" t="s">
        <v>555</v>
      </c>
      <c r="D69" s="74" t="s">
        <v>556</v>
      </c>
      <c r="E69" s="44" t="s">
        <v>359</v>
      </c>
      <c r="F69" s="74" t="s">
        <v>557</v>
      </c>
      <c r="G69" s="75"/>
      <c r="H69" s="74"/>
      <c r="I69" s="75"/>
      <c r="J69" s="74">
        <v>12</v>
      </c>
      <c r="K69" s="74" t="s">
        <v>496</v>
      </c>
      <c r="L69" s="74" t="s">
        <v>558</v>
      </c>
      <c r="M69" s="49"/>
      <c r="N69" s="8" t="s">
        <v>449</v>
      </c>
      <c r="O69" s="46" t="str">
        <f>IFERROR(VLOOKUP($C69,二次物料明细!$A:$N,COLUMN(二次物料明细!H$1),),0)</f>
        <v>董培菊</v>
      </c>
      <c r="P69" s="47">
        <f>IFERROR(VLOOKUP($C69,二次物料明细!$A:$N,COLUMN(二次物料明细!I$1),),0)</f>
        <v>0.0686</v>
      </c>
      <c r="Q69" s="47">
        <f>IFERROR(VLOOKUP($C69,二次物料明细!$A:$N,COLUMN(二次物料明细!J$1),),0)</f>
        <v>0</v>
      </c>
      <c r="R69" s="47">
        <f>IFERROR(VLOOKUP($C69,二次物料明细!$A:$N,COLUMN(二次物料明细!K$1),),0)</f>
        <v>0</v>
      </c>
      <c r="S69" s="47">
        <f>IFERROR(VLOOKUP($C69,二次物料明细!$A:$N,COLUMN(二次物料明细!L$1),),0)</f>
        <v>0</v>
      </c>
      <c r="T69" s="47">
        <f t="shared" si="4"/>
        <v>0</v>
      </c>
      <c r="U69" s="47">
        <f t="shared" si="5"/>
        <v>0.8232</v>
      </c>
      <c r="V69" s="46" t="str">
        <f>IFERROR(VLOOKUP($C69,二次物料明细!$A:$N,COLUMN(二次物料明细!M$1),),0)</f>
        <v>CNY</v>
      </c>
      <c r="W69" s="46" t="str">
        <f>IFERROR(VLOOKUP($C69,二次物料明细!$A:$N,COLUMN(二次物料明细!N$1),),0)</f>
        <v>系统价</v>
      </c>
      <c r="X69" s="34"/>
    </row>
    <row r="70" spans="1:24">
      <c r="A70" s="42">
        <v>6608523073</v>
      </c>
      <c r="B70" s="42" t="s">
        <v>337</v>
      </c>
      <c r="C70" s="59" t="s">
        <v>559</v>
      </c>
      <c r="D70" s="59" t="s">
        <v>560</v>
      </c>
      <c r="E70" s="44" t="s">
        <v>359</v>
      </c>
      <c r="F70" s="59" t="s">
        <v>561</v>
      </c>
      <c r="G70" s="58"/>
      <c r="H70" s="59"/>
      <c r="I70" s="58"/>
      <c r="J70" s="59">
        <v>5</v>
      </c>
      <c r="K70" s="59" t="s">
        <v>496</v>
      </c>
      <c r="L70" s="59" t="s">
        <v>562</v>
      </c>
      <c r="M70" s="57"/>
      <c r="N70" s="8" t="s">
        <v>449</v>
      </c>
      <c r="O70" s="46" t="str">
        <f>IFERROR(VLOOKUP($C70,二次物料明细!$A:$N,COLUMN(二次物料明细!H$1),),0)</f>
        <v>董培菊</v>
      </c>
      <c r="P70" s="47">
        <f>IFERROR(VLOOKUP($C70,二次物料明细!$A:$N,COLUMN(二次物料明细!I$1),),0)</f>
        <v>0.209</v>
      </c>
      <c r="Q70" s="47">
        <f>IFERROR(VLOOKUP($C70,二次物料明细!$A:$N,COLUMN(二次物料明细!J$1),),0)</f>
        <v>0</v>
      </c>
      <c r="R70" s="47">
        <f>IFERROR(VLOOKUP($C70,二次物料明细!$A:$N,COLUMN(二次物料明细!K$1),),0)</f>
        <v>0</v>
      </c>
      <c r="S70" s="47">
        <f>IFERROR(VLOOKUP($C70,二次物料明细!$A:$N,COLUMN(二次物料明细!L$1),),0)</f>
        <v>0</v>
      </c>
      <c r="T70" s="47">
        <f t="shared" si="4"/>
        <v>0</v>
      </c>
      <c r="U70" s="47">
        <f t="shared" si="5"/>
        <v>1.045</v>
      </c>
      <c r="V70" s="46" t="str">
        <f>IFERROR(VLOOKUP($C70,二次物料明细!$A:$N,COLUMN(二次物料明细!M$1),),0)</f>
        <v>CNY</v>
      </c>
      <c r="W70" s="46" t="str">
        <f>IFERROR(VLOOKUP($C70,二次物料明细!$A:$N,COLUMN(二次物料明细!N$1),),0)</f>
        <v>系统价</v>
      </c>
      <c r="X70" s="34"/>
    </row>
    <row r="71" spans="1:24">
      <c r="A71" s="42">
        <v>6608523073</v>
      </c>
      <c r="B71" s="42" t="s">
        <v>337</v>
      </c>
      <c r="C71" s="59" t="s">
        <v>563</v>
      </c>
      <c r="D71" s="59" t="s">
        <v>564</v>
      </c>
      <c r="E71" s="44" t="s">
        <v>359</v>
      </c>
      <c r="F71" s="59" t="s">
        <v>565</v>
      </c>
      <c r="G71" s="58"/>
      <c r="H71" s="59"/>
      <c r="I71" s="58"/>
      <c r="J71" s="59">
        <v>2</v>
      </c>
      <c r="K71" s="59" t="s">
        <v>496</v>
      </c>
      <c r="L71" s="59" t="s">
        <v>562</v>
      </c>
      <c r="M71" s="57"/>
      <c r="N71" s="8" t="s">
        <v>449</v>
      </c>
      <c r="O71" s="46" t="str">
        <f>IFERROR(VLOOKUP($C71,二次物料明细!$A:$N,COLUMN(二次物料明细!H$1),),0)</f>
        <v>董培菊</v>
      </c>
      <c r="P71" s="47">
        <f>IFERROR(VLOOKUP($C71,二次物料明细!$A:$N,COLUMN(二次物料明细!I$1),),0)</f>
        <v>0.14136</v>
      </c>
      <c r="Q71" s="47">
        <f>IFERROR(VLOOKUP($C71,二次物料明细!$A:$N,COLUMN(二次物料明细!J$1),),0)</f>
        <v>0</v>
      </c>
      <c r="R71" s="47">
        <f>IFERROR(VLOOKUP($C71,二次物料明细!$A:$N,COLUMN(二次物料明细!K$1),),0)</f>
        <v>0</v>
      </c>
      <c r="S71" s="47">
        <f>IFERROR(VLOOKUP($C71,二次物料明细!$A:$N,COLUMN(二次物料明细!L$1),),0)</f>
        <v>0</v>
      </c>
      <c r="T71" s="47">
        <f t="shared" si="4"/>
        <v>0</v>
      </c>
      <c r="U71" s="47">
        <f t="shared" si="5"/>
        <v>0.28272</v>
      </c>
      <c r="V71" s="46" t="str">
        <f>IFERROR(VLOOKUP($C71,二次物料明细!$A:$N,COLUMN(二次物料明细!M$1),),0)</f>
        <v>CNY</v>
      </c>
      <c r="W71" s="46" t="str">
        <f>IFERROR(VLOOKUP($C71,二次物料明细!$A:$N,COLUMN(二次物料明细!N$1),),0)</f>
        <v>系统价</v>
      </c>
      <c r="X71" s="34"/>
    </row>
    <row r="72" spans="1:24">
      <c r="A72" s="42">
        <v>6608523073</v>
      </c>
      <c r="B72" s="42" t="s">
        <v>337</v>
      </c>
      <c r="C72" s="59" t="s">
        <v>566</v>
      </c>
      <c r="D72" s="59" t="s">
        <v>567</v>
      </c>
      <c r="E72" s="44" t="s">
        <v>359</v>
      </c>
      <c r="F72" s="58" t="s">
        <v>568</v>
      </c>
      <c r="G72" s="58"/>
      <c r="H72" s="59"/>
      <c r="I72" s="58"/>
      <c r="J72" s="59">
        <v>1</v>
      </c>
      <c r="K72" s="59" t="s">
        <v>360</v>
      </c>
      <c r="L72" s="59" t="s">
        <v>569</v>
      </c>
      <c r="M72" s="50"/>
      <c r="N72" s="8" t="s">
        <v>570</v>
      </c>
      <c r="O72" s="46" t="str">
        <f>IFERROR(VLOOKUP($C72,二次物料明细!$A:$N,COLUMN(二次物料明细!H$1),),0)</f>
        <v>王永东</v>
      </c>
      <c r="P72" s="47">
        <f>IFERROR(VLOOKUP($C72,二次物料明细!$A:$N,COLUMN(二次物料明细!I$1),),0)</f>
        <v>8.294</v>
      </c>
      <c r="Q72" s="47">
        <f>IFERROR(VLOOKUP($C72,二次物料明细!$A:$N,COLUMN(二次物料明细!J$1),),0)</f>
        <v>0</v>
      </c>
      <c r="R72" s="47">
        <f>IFERROR(VLOOKUP($C72,二次物料明细!$A:$N,COLUMN(二次物料明细!K$1),),0)</f>
        <v>0</v>
      </c>
      <c r="S72" s="47">
        <f>IFERROR(VLOOKUP($C72,二次物料明细!$A:$N,COLUMN(二次物料明细!L$1),),0)</f>
        <v>0</v>
      </c>
      <c r="T72" s="47">
        <f t="shared" si="4"/>
        <v>0</v>
      </c>
      <c r="U72" s="47">
        <f t="shared" si="5"/>
        <v>8.294</v>
      </c>
      <c r="V72" s="46" t="str">
        <f>IFERROR(VLOOKUP($C72,二次物料明细!$A:$N,COLUMN(二次物料明细!M$1),),0)</f>
        <v>CNY</v>
      </c>
      <c r="W72" s="46" t="str">
        <f>IFERROR(VLOOKUP($C72,二次物料明细!$A:$N,COLUMN(二次物料明细!N$1),),0)</f>
        <v>系统价</v>
      </c>
    </row>
    <row r="73" spans="1:24">
      <c r="A73" s="42">
        <v>6608523073</v>
      </c>
      <c r="B73" s="42" t="s">
        <v>337</v>
      </c>
      <c r="C73" s="59" t="s">
        <v>571</v>
      </c>
      <c r="D73" s="59" t="s">
        <v>572</v>
      </c>
      <c r="E73" s="44" t="s">
        <v>359</v>
      </c>
      <c r="F73" s="59" t="s">
        <v>573</v>
      </c>
      <c r="G73" s="59"/>
      <c r="H73" s="59"/>
      <c r="I73" s="59"/>
      <c r="J73" s="59">
        <v>1</v>
      </c>
      <c r="K73" s="59" t="s">
        <v>360</v>
      </c>
      <c r="L73" s="59" t="s">
        <v>574</v>
      </c>
      <c r="M73" s="51"/>
      <c r="N73" s="8" t="s">
        <v>570</v>
      </c>
      <c r="O73" s="46" t="str">
        <f>IFERROR(VLOOKUP($C73,二次物料明细!$A:$N,COLUMN(二次物料明细!H$1),),0)</f>
        <v>王永东</v>
      </c>
      <c r="P73" s="47">
        <f>IFERROR(VLOOKUP($C73,二次物料明细!$A:$N,COLUMN(二次物料明细!I$1),),0)</f>
        <v>2.183</v>
      </c>
      <c r="Q73" s="47">
        <f>IFERROR(VLOOKUP($C73,二次物料明细!$A:$N,COLUMN(二次物料明细!J$1),),0)</f>
        <v>0</v>
      </c>
      <c r="R73" s="47">
        <f>IFERROR(VLOOKUP($C73,二次物料明细!$A:$N,COLUMN(二次物料明细!K$1),),0)</f>
        <v>0</v>
      </c>
      <c r="S73" s="47">
        <f>IFERROR(VLOOKUP($C73,二次物料明细!$A:$N,COLUMN(二次物料明细!L$1),),0)</f>
        <v>0</v>
      </c>
      <c r="T73" s="47">
        <f t="shared" si="4"/>
        <v>0</v>
      </c>
      <c r="U73" s="47">
        <f t="shared" si="5"/>
        <v>2.183</v>
      </c>
      <c r="V73" s="46" t="str">
        <f>IFERROR(VLOOKUP($C73,二次物料明细!$A:$N,COLUMN(二次物料明细!M$1),),0)</f>
        <v>CNY</v>
      </c>
      <c r="W73" s="46" t="str">
        <f>IFERROR(VLOOKUP($C73,二次物料明细!$A:$N,COLUMN(二次物料明细!N$1),),0)</f>
        <v>系统价</v>
      </c>
    </row>
    <row r="74" spans="1:24">
      <c r="A74" s="42">
        <v>6608523073</v>
      </c>
      <c r="B74" s="42" t="s">
        <v>337</v>
      </c>
      <c r="C74" s="59" t="s">
        <v>575</v>
      </c>
      <c r="D74" s="59" t="s">
        <v>572</v>
      </c>
      <c r="E74" s="44" t="s">
        <v>359</v>
      </c>
      <c r="F74" s="59" t="s">
        <v>576</v>
      </c>
      <c r="G74" s="59"/>
      <c r="H74" s="59"/>
      <c r="I74" s="59"/>
      <c r="J74" s="59">
        <v>1</v>
      </c>
      <c r="K74" s="59" t="s">
        <v>360</v>
      </c>
      <c r="L74" s="51" t="s">
        <v>574</v>
      </c>
      <c r="M74" s="51"/>
      <c r="N74" s="8" t="s">
        <v>570</v>
      </c>
      <c r="O74" s="46" t="str">
        <f>IFERROR(VLOOKUP($C74,二次物料明细!$A:$N,COLUMN(二次物料明细!H$1),),0)</f>
        <v>王永东</v>
      </c>
      <c r="P74" s="47">
        <f>IFERROR(VLOOKUP($C74,二次物料明细!$A:$N,COLUMN(二次物料明细!I$1),),0)</f>
        <v>3.5393</v>
      </c>
      <c r="Q74" s="47">
        <f>IFERROR(VLOOKUP($C74,二次物料明细!$A:$N,COLUMN(二次物料明细!J$1),),0)</f>
        <v>0</v>
      </c>
      <c r="R74" s="47">
        <f>IFERROR(VLOOKUP($C74,二次物料明细!$A:$N,COLUMN(二次物料明细!K$1),),0)</f>
        <v>0</v>
      </c>
      <c r="S74" s="47">
        <f>IFERROR(VLOOKUP($C74,二次物料明细!$A:$N,COLUMN(二次物料明细!L$1),),0)</f>
        <v>0</v>
      </c>
      <c r="T74" s="47">
        <f t="shared" si="4"/>
        <v>0</v>
      </c>
      <c r="U74" s="47">
        <f t="shared" si="5"/>
        <v>3.5393</v>
      </c>
      <c r="V74" s="46" t="str">
        <f>IFERROR(VLOOKUP($C74,二次物料明细!$A:$N,COLUMN(二次物料明细!M$1),),0)</f>
        <v>CNY</v>
      </c>
      <c r="W74" s="46" t="str">
        <f>IFERROR(VLOOKUP($C74,二次物料明细!$A:$N,COLUMN(二次物料明细!N$1),),0)</f>
        <v>系统价</v>
      </c>
    </row>
    <row r="75" s="31" customFormat="1" spans="1:24">
      <c r="A75" s="76">
        <v>6608523073</v>
      </c>
      <c r="B75" s="76" t="s">
        <v>337</v>
      </c>
      <c r="C75" s="51" t="s">
        <v>577</v>
      </c>
      <c r="D75" s="51" t="s">
        <v>572</v>
      </c>
      <c r="E75" s="44" t="s">
        <v>359</v>
      </c>
      <c r="F75" s="51"/>
      <c r="G75" s="51"/>
      <c r="H75" s="51"/>
      <c r="I75" s="51"/>
      <c r="J75" s="51">
        <v>1</v>
      </c>
      <c r="K75" s="51" t="s">
        <v>360</v>
      </c>
      <c r="L75" s="51" t="s">
        <v>578</v>
      </c>
      <c r="M75" s="51"/>
      <c r="N75" s="8" t="s">
        <v>449</v>
      </c>
      <c r="O75" s="46">
        <f>IFERROR(VLOOKUP($C75,二次物料明细!$A:$N,COLUMN(二次物料明细!H$1),),0)</f>
        <v>0</v>
      </c>
      <c r="P75" s="47">
        <f>IFERROR(VLOOKUP($C75,二次物料明细!$A:$N,COLUMN(二次物料明细!I$1),),0)</f>
        <v>5</v>
      </c>
      <c r="Q75" s="47">
        <f>IFERROR(VLOOKUP($C75,二次物料明细!$A:$N,COLUMN(二次物料明细!J$1),),0)</f>
        <v>0</v>
      </c>
      <c r="R75" s="47">
        <f>IFERROR(VLOOKUP($C75,二次物料明细!$A:$N,COLUMN(二次物料明细!K$1),),0)</f>
        <v>0</v>
      </c>
      <c r="S75" s="47">
        <f>IFERROR(VLOOKUP($C75,二次物料明细!$A:$N,COLUMN(二次物料明细!L$1),),0)</f>
        <v>0</v>
      </c>
      <c r="T75" s="47">
        <f t="shared" si="4"/>
        <v>0</v>
      </c>
      <c r="U75" s="47">
        <f t="shared" si="5"/>
        <v>5</v>
      </c>
      <c r="V75" s="46">
        <f>IFERROR(VLOOKUP($C75,二次物料明细!$A:$N,COLUMN(二次物料明细!M$1),),0)</f>
        <v>0</v>
      </c>
      <c r="W75" s="46" t="str">
        <f>IFERROR(VLOOKUP($C75,二次物料明细!$A:$N,COLUMN(二次物料明细!N$1),),0)</f>
        <v>销售估价</v>
      </c>
      <c r="X75" s="77"/>
    </row>
    <row r="76" spans="1:24">
      <c r="A76" s="42">
        <v>6608523073</v>
      </c>
      <c r="B76" s="42" t="s">
        <v>337</v>
      </c>
      <c r="C76" s="59" t="s">
        <v>579</v>
      </c>
      <c r="D76" s="59" t="s">
        <v>580</v>
      </c>
      <c r="E76" s="44" t="s">
        <v>359</v>
      </c>
      <c r="F76" s="59"/>
      <c r="G76" s="59"/>
      <c r="H76" s="59"/>
      <c r="I76" s="59"/>
      <c r="J76" s="59">
        <v>1</v>
      </c>
      <c r="K76" s="59" t="s">
        <v>360</v>
      </c>
      <c r="L76" s="43" t="s">
        <v>581</v>
      </c>
      <c r="M76" s="51"/>
      <c r="N76" s="8" t="s">
        <v>449</v>
      </c>
      <c r="O76" s="46" t="str">
        <f>IFERROR(VLOOKUP($C76,二次物料明细!$A:$N,COLUMN(二次物料明细!H$1),),0)</f>
        <v>邹娇</v>
      </c>
      <c r="P76" s="47">
        <f>IFERROR(VLOOKUP($C76,二次物料明细!$A:$N,COLUMN(二次物料明细!I$1),),0)</f>
        <v>1.51</v>
      </c>
      <c r="Q76" s="47">
        <f>IFERROR(VLOOKUP($C76,二次物料明细!$A:$N,COLUMN(二次物料明细!J$1),),0)</f>
        <v>0</v>
      </c>
      <c r="R76" s="47">
        <f>IFERROR(VLOOKUP($C76,二次物料明细!$A:$N,COLUMN(二次物料明细!K$1),),0)</f>
        <v>0</v>
      </c>
      <c r="S76" s="47">
        <f>IFERROR(VLOOKUP($C76,二次物料明细!$A:$N,COLUMN(二次物料明细!L$1),),0)</f>
        <v>0</v>
      </c>
      <c r="T76" s="47">
        <f t="shared" si="4"/>
        <v>0</v>
      </c>
      <c r="U76" s="47">
        <f t="shared" si="5"/>
        <v>1.51</v>
      </c>
      <c r="V76" s="46" t="str">
        <f>IFERROR(VLOOKUP($C76,二次物料明细!$A:$N,COLUMN(二次物料明细!M$1),),0)</f>
        <v>CNY</v>
      </c>
      <c r="W76" s="46" t="str">
        <f>IFERROR(VLOOKUP($C76,二次物料明细!$A:$N,COLUMN(二次物料明细!N$1),),0)</f>
        <v>含5W分摊价</v>
      </c>
      <c r="X76" s="34"/>
    </row>
    <row r="77" spans="1:24">
      <c r="A77" s="42">
        <v>6608523073</v>
      </c>
      <c r="B77" s="42" t="s">
        <v>337</v>
      </c>
      <c r="C77" s="59" t="s">
        <v>582</v>
      </c>
      <c r="D77" s="59" t="s">
        <v>583</v>
      </c>
      <c r="E77" s="44" t="s">
        <v>359</v>
      </c>
      <c r="F77" s="59" t="s">
        <v>584</v>
      </c>
      <c r="G77" s="59"/>
      <c r="H77" s="59"/>
      <c r="I77" s="59"/>
      <c r="J77" s="59">
        <v>1</v>
      </c>
      <c r="K77" s="59" t="s">
        <v>360</v>
      </c>
      <c r="L77" s="59" t="s">
        <v>585</v>
      </c>
      <c r="M77" s="51"/>
      <c r="N77" s="8" t="s">
        <v>449</v>
      </c>
      <c r="O77" s="46" t="str">
        <f>IFERROR(VLOOKUP($C77,二次物料明细!$A:$N,COLUMN(二次物料明细!H$1),),0)</f>
        <v>狄斌</v>
      </c>
      <c r="P77" s="47">
        <f>IFERROR(VLOOKUP($C77,二次物料明细!$A:$N,COLUMN(二次物料明细!I$1),),0)</f>
        <v>1.358</v>
      </c>
      <c r="Q77" s="47">
        <f>IFERROR(VLOOKUP($C77,二次物料明细!$A:$N,COLUMN(二次物料明细!J$1),),0)</f>
        <v>0</v>
      </c>
      <c r="R77" s="47">
        <f>IFERROR(VLOOKUP($C77,二次物料明细!$A:$N,COLUMN(二次物料明细!K$1),),0)</f>
        <v>0</v>
      </c>
      <c r="S77" s="47">
        <f>IFERROR(VLOOKUP($C77,二次物料明细!$A:$N,COLUMN(二次物料明细!L$1),),0)</f>
        <v>0</v>
      </c>
      <c r="T77" s="47">
        <f t="shared" si="4"/>
        <v>0</v>
      </c>
      <c r="U77" s="47">
        <f t="shared" si="5"/>
        <v>1.358</v>
      </c>
      <c r="V77" s="46" t="str">
        <f>IFERROR(VLOOKUP($C77,二次物料明细!$A:$N,COLUMN(二次物料明细!M$1),),0)</f>
        <v>CNY</v>
      </c>
      <c r="W77" s="46" t="str">
        <f>IFERROR(VLOOKUP($C77,二次物料明细!$A:$N,COLUMN(二次物料明细!N$1),),0)</f>
        <v>系统价</v>
      </c>
    </row>
    <row r="78" spans="1:24">
      <c r="A78" s="42">
        <v>6608523073</v>
      </c>
      <c r="B78" s="42" t="s">
        <v>337</v>
      </c>
      <c r="C78" s="59" t="s">
        <v>586</v>
      </c>
      <c r="D78" s="59" t="s">
        <v>583</v>
      </c>
      <c r="E78" s="44" t="s">
        <v>359</v>
      </c>
      <c r="F78" s="59" t="s">
        <v>587</v>
      </c>
      <c r="G78" s="59"/>
      <c r="H78" s="59"/>
      <c r="I78" s="59"/>
      <c r="J78" s="59">
        <v>2</v>
      </c>
      <c r="K78" s="59" t="s">
        <v>360</v>
      </c>
      <c r="L78" s="59" t="s">
        <v>588</v>
      </c>
      <c r="M78" s="51"/>
      <c r="N78" s="8" t="s">
        <v>449</v>
      </c>
      <c r="O78" s="46" t="str">
        <f>IFERROR(VLOOKUP($C78,二次物料明细!$A:$N,COLUMN(二次物料明细!H$1),),0)</f>
        <v>狄斌</v>
      </c>
      <c r="P78" s="47">
        <f>IFERROR(VLOOKUP($C78,二次物料明细!$A:$N,COLUMN(二次物料明细!I$1),),0)</f>
        <v>0.76352</v>
      </c>
      <c r="Q78" s="47">
        <f>IFERROR(VLOOKUP($C78,二次物料明细!$A:$N,COLUMN(二次物料明细!J$1),),0)</f>
        <v>0</v>
      </c>
      <c r="R78" s="47">
        <f>IFERROR(VLOOKUP($C78,二次物料明细!$A:$N,COLUMN(二次物料明细!K$1),),0)</f>
        <v>0</v>
      </c>
      <c r="S78" s="47">
        <f>IFERROR(VLOOKUP($C78,二次物料明细!$A:$N,COLUMN(二次物料明细!L$1),),0)</f>
        <v>0</v>
      </c>
      <c r="T78" s="47">
        <f t="shared" si="4"/>
        <v>0</v>
      </c>
      <c r="U78" s="47">
        <f t="shared" si="5"/>
        <v>1.52704</v>
      </c>
      <c r="V78" s="46" t="str">
        <f>IFERROR(VLOOKUP($C78,二次物料明细!$A:$N,COLUMN(二次物料明细!M$1),),0)</f>
        <v>CNY</v>
      </c>
      <c r="W78" s="46" t="str">
        <f>IFERROR(VLOOKUP($C78,二次物料明细!$A:$N,COLUMN(二次物料明细!N$1),),0)</f>
        <v>系统价</v>
      </c>
      <c r="X78" s="34"/>
    </row>
    <row r="79" spans="1:24">
      <c r="A79" s="42">
        <v>6608523073</v>
      </c>
      <c r="B79" s="42" t="s">
        <v>337</v>
      </c>
      <c r="C79" s="59" t="s">
        <v>589</v>
      </c>
      <c r="D79" s="59" t="s">
        <v>590</v>
      </c>
      <c r="E79" s="44" t="s">
        <v>359</v>
      </c>
      <c r="F79" s="59" t="s">
        <v>591</v>
      </c>
      <c r="G79" s="59"/>
      <c r="H79" s="59"/>
      <c r="I79" s="59"/>
      <c r="J79" s="59">
        <v>1</v>
      </c>
      <c r="K79" s="59" t="s">
        <v>360</v>
      </c>
      <c r="L79" s="59" t="s">
        <v>592</v>
      </c>
      <c r="M79" s="51"/>
      <c r="N79" s="8" t="s">
        <v>449</v>
      </c>
      <c r="O79" s="46" t="str">
        <f>IFERROR(VLOOKUP($C79,二次物料明细!$A:$N,COLUMN(二次物料明细!H$1),),0)</f>
        <v>邹娇</v>
      </c>
      <c r="P79" s="47">
        <f>IFERROR(VLOOKUP($C79,二次物料明细!$A:$N,COLUMN(二次物料明细!I$1),),0)</f>
        <v>0.095</v>
      </c>
      <c r="Q79" s="47">
        <f>IFERROR(VLOOKUP($C79,二次物料明细!$A:$N,COLUMN(二次物料明细!J$1),),0)</f>
        <v>0</v>
      </c>
      <c r="R79" s="47">
        <f>IFERROR(VLOOKUP($C79,二次物料明细!$A:$N,COLUMN(二次物料明细!K$1),),0)</f>
        <v>0</v>
      </c>
      <c r="S79" s="47">
        <f>IFERROR(VLOOKUP($C79,二次物料明细!$A:$N,COLUMN(二次物料明细!L$1),),0)</f>
        <v>0</v>
      </c>
      <c r="T79" s="47">
        <f t="shared" si="4"/>
        <v>0</v>
      </c>
      <c r="U79" s="47">
        <f t="shared" si="5"/>
        <v>0.095</v>
      </c>
      <c r="V79" s="46" t="str">
        <f>IFERROR(VLOOKUP($C79,二次物料明细!$A:$N,COLUMN(二次物料明细!M$1),),0)</f>
        <v>CNY</v>
      </c>
      <c r="W79" s="46" t="str">
        <f>IFERROR(VLOOKUP($C79,二次物料明细!$A:$N,COLUMN(二次物料明细!N$1),),0)</f>
        <v>系统价</v>
      </c>
    </row>
    <row r="80" spans="1:24">
      <c r="A80" s="42">
        <v>6608523073</v>
      </c>
      <c r="B80" s="42" t="s">
        <v>337</v>
      </c>
      <c r="C80" s="59" t="s">
        <v>593</v>
      </c>
      <c r="D80" s="59" t="s">
        <v>590</v>
      </c>
      <c r="E80" s="44" t="s">
        <v>359</v>
      </c>
      <c r="F80" s="59" t="s">
        <v>594</v>
      </c>
      <c r="G80" s="59"/>
      <c r="H80" s="59"/>
      <c r="I80" s="59"/>
      <c r="J80" s="59">
        <v>1</v>
      </c>
      <c r="K80" s="59" t="s">
        <v>360</v>
      </c>
      <c r="L80" s="59" t="s">
        <v>592</v>
      </c>
      <c r="M80" s="51"/>
      <c r="N80" s="8" t="s">
        <v>449</v>
      </c>
      <c r="O80" s="46" t="str">
        <f>IFERROR(VLOOKUP($C80,二次物料明细!$A:$N,COLUMN(二次物料明细!H$1),),0)</f>
        <v>邹娇</v>
      </c>
      <c r="P80" s="47">
        <f>IFERROR(VLOOKUP($C80,二次物料明细!$A:$N,COLUMN(二次物料明细!I$1),),0)</f>
        <v>0.09</v>
      </c>
      <c r="Q80" s="47">
        <f>IFERROR(VLOOKUP($C80,二次物料明细!$A:$N,COLUMN(二次物料明细!J$1),),0)</f>
        <v>0</v>
      </c>
      <c r="R80" s="47">
        <f>IFERROR(VLOOKUP($C80,二次物料明细!$A:$N,COLUMN(二次物料明细!K$1),),0)</f>
        <v>0</v>
      </c>
      <c r="S80" s="47">
        <f>IFERROR(VLOOKUP($C80,二次物料明细!$A:$N,COLUMN(二次物料明细!L$1),),0)</f>
        <v>0</v>
      </c>
      <c r="T80" s="47">
        <f t="shared" si="4"/>
        <v>0</v>
      </c>
      <c r="U80" s="47">
        <f t="shared" si="5"/>
        <v>0.09</v>
      </c>
      <c r="V80" s="46" t="str">
        <f>IFERROR(VLOOKUP($C80,二次物料明细!$A:$N,COLUMN(二次物料明细!M$1),),0)</f>
        <v>CNY</v>
      </c>
      <c r="W80" s="46" t="str">
        <f>IFERROR(VLOOKUP($C80,二次物料明细!$A:$N,COLUMN(二次物料明细!N$1),),0)</f>
        <v>系统价</v>
      </c>
    </row>
    <row r="81" spans="1:24">
      <c r="A81" s="42">
        <v>6608523073</v>
      </c>
      <c r="B81" s="42" t="s">
        <v>337</v>
      </c>
      <c r="C81" s="59" t="s">
        <v>595</v>
      </c>
      <c r="D81" s="59" t="s">
        <v>596</v>
      </c>
      <c r="E81" s="44" t="s">
        <v>359</v>
      </c>
      <c r="F81" s="59" t="s">
        <v>597</v>
      </c>
      <c r="G81" s="59"/>
      <c r="H81" s="59"/>
      <c r="I81" s="59"/>
      <c r="J81" s="59">
        <v>4</v>
      </c>
      <c r="K81" s="59" t="s">
        <v>360</v>
      </c>
      <c r="L81" s="59" t="s">
        <v>592</v>
      </c>
      <c r="M81" s="51"/>
      <c r="N81" s="8" t="s">
        <v>449</v>
      </c>
      <c r="O81" s="46" t="str">
        <f>IFERROR(VLOOKUP($C81,二次物料明细!$A:$N,COLUMN(二次物料明细!H$1),),0)</f>
        <v>邹娇</v>
      </c>
      <c r="P81" s="47">
        <f>IFERROR(VLOOKUP($C81,二次物料明细!$A:$N,COLUMN(二次物料明细!I$1),),0)</f>
        <v>0.085</v>
      </c>
      <c r="Q81" s="47">
        <f>IFERROR(VLOOKUP($C81,二次物料明细!$A:$N,COLUMN(二次物料明细!J$1),),0)</f>
        <v>0</v>
      </c>
      <c r="R81" s="47">
        <f>IFERROR(VLOOKUP($C81,二次物料明细!$A:$N,COLUMN(二次物料明细!K$1),),0)</f>
        <v>0</v>
      </c>
      <c r="S81" s="47">
        <f>IFERROR(VLOOKUP($C81,二次物料明细!$A:$N,COLUMN(二次物料明细!L$1),),0)</f>
        <v>0</v>
      </c>
      <c r="T81" s="47">
        <f t="shared" si="4"/>
        <v>0</v>
      </c>
      <c r="U81" s="47">
        <f t="shared" si="5"/>
        <v>0.34</v>
      </c>
      <c r="V81" s="46" t="str">
        <f>IFERROR(VLOOKUP($C81,二次物料明细!$A:$N,COLUMN(二次物料明细!M$1),),0)</f>
        <v>CNY</v>
      </c>
      <c r="W81" s="46" t="str">
        <f>IFERROR(VLOOKUP($C81,二次物料明细!$A:$N,COLUMN(二次物料明细!N$1),),0)</f>
        <v>系统价</v>
      </c>
    </row>
    <row r="82" spans="1:24">
      <c r="A82" s="42">
        <v>6608523073</v>
      </c>
      <c r="B82" s="42" t="s">
        <v>337</v>
      </c>
      <c r="C82" s="59" t="s">
        <v>598</v>
      </c>
      <c r="D82" s="59" t="s">
        <v>599</v>
      </c>
      <c r="E82" s="44" t="s">
        <v>359</v>
      </c>
      <c r="F82" s="59" t="s">
        <v>600</v>
      </c>
      <c r="G82" s="59"/>
      <c r="H82" s="59"/>
      <c r="I82" s="59"/>
      <c r="J82" s="59">
        <v>1</v>
      </c>
      <c r="K82" s="59" t="s">
        <v>360</v>
      </c>
      <c r="L82" s="59" t="s">
        <v>592</v>
      </c>
      <c r="M82" s="51"/>
      <c r="N82" s="8" t="s">
        <v>449</v>
      </c>
      <c r="O82" s="46" t="str">
        <f>IFERROR(VLOOKUP($C82,二次物料明细!$A:$N,COLUMN(二次物料明细!H$1),),0)</f>
        <v>邹娇</v>
      </c>
      <c r="P82" s="47">
        <f>IFERROR(VLOOKUP($C82,二次物料明细!$A:$N,COLUMN(二次物料明细!I$1),),0)</f>
        <v>0.35</v>
      </c>
      <c r="Q82" s="47">
        <f>IFERROR(VLOOKUP($C82,二次物料明细!$A:$N,COLUMN(二次物料明细!J$1),),0)</f>
        <v>0</v>
      </c>
      <c r="R82" s="47">
        <f>IFERROR(VLOOKUP($C82,二次物料明细!$A:$N,COLUMN(二次物料明细!K$1),),0)</f>
        <v>0</v>
      </c>
      <c r="S82" s="47">
        <f>IFERROR(VLOOKUP($C82,二次物料明细!$A:$N,COLUMN(二次物料明细!L$1),),0)</f>
        <v>0</v>
      </c>
      <c r="T82" s="47">
        <f t="shared" si="4"/>
        <v>0</v>
      </c>
      <c r="U82" s="47">
        <f t="shared" si="5"/>
        <v>0.35</v>
      </c>
      <c r="V82" s="46" t="str">
        <f>IFERROR(VLOOKUP($C82,二次物料明细!$A:$N,COLUMN(二次物料明细!M$1),),0)</f>
        <v>CNY</v>
      </c>
      <c r="W82" s="46" t="str">
        <f>IFERROR(VLOOKUP($C82,二次物料明细!$A:$N,COLUMN(二次物料明细!N$1),),0)</f>
        <v>系统价</v>
      </c>
    </row>
    <row r="83" spans="1:24">
      <c r="A83" s="42">
        <v>6608523073</v>
      </c>
      <c r="B83" s="42" t="s">
        <v>337</v>
      </c>
      <c r="C83" s="59" t="s">
        <v>601</v>
      </c>
      <c r="D83" s="59" t="s">
        <v>602</v>
      </c>
      <c r="E83" s="44" t="s">
        <v>359</v>
      </c>
      <c r="F83" s="59" t="s">
        <v>603</v>
      </c>
      <c r="G83" s="59"/>
      <c r="H83" s="59"/>
      <c r="I83" s="59"/>
      <c r="J83" s="59">
        <v>1</v>
      </c>
      <c r="K83" s="59" t="s">
        <v>360</v>
      </c>
      <c r="L83" s="59" t="s">
        <v>592</v>
      </c>
      <c r="M83" s="51"/>
      <c r="N83" s="8" t="s">
        <v>449</v>
      </c>
      <c r="O83" s="46" t="str">
        <f>IFERROR(VLOOKUP($C83,二次物料明细!$A:$N,COLUMN(二次物料明细!H$1),),0)</f>
        <v>邹娇</v>
      </c>
      <c r="P83" s="47">
        <f>IFERROR(VLOOKUP($C83,二次物料明细!$A:$N,COLUMN(二次物料明细!I$1),),0)</f>
        <v>0.23275</v>
      </c>
      <c r="Q83" s="47">
        <f>IFERROR(VLOOKUP($C83,二次物料明细!$A:$N,COLUMN(二次物料明细!J$1),),0)</f>
        <v>0</v>
      </c>
      <c r="R83" s="47">
        <f>IFERROR(VLOOKUP($C83,二次物料明细!$A:$N,COLUMN(二次物料明细!K$1),),0)</f>
        <v>0</v>
      </c>
      <c r="S83" s="47">
        <f>IFERROR(VLOOKUP($C83,二次物料明细!$A:$N,COLUMN(二次物料明细!L$1),),0)</f>
        <v>0</v>
      </c>
      <c r="T83" s="47">
        <f t="shared" si="4"/>
        <v>0</v>
      </c>
      <c r="U83" s="47">
        <f t="shared" si="5"/>
        <v>0.23275</v>
      </c>
      <c r="V83" s="46" t="str">
        <f>IFERROR(VLOOKUP($C83,二次物料明细!$A:$N,COLUMN(二次物料明细!M$1),),0)</f>
        <v>CNY</v>
      </c>
      <c r="W83" s="46" t="str">
        <f>IFERROR(VLOOKUP($C83,二次物料明细!$A:$N,COLUMN(二次物料明细!N$1),),0)</f>
        <v>系统价</v>
      </c>
    </row>
    <row r="84" spans="1:24">
      <c r="A84" s="42">
        <v>6608523073</v>
      </c>
      <c r="B84" s="42" t="s">
        <v>337</v>
      </c>
      <c r="C84" s="59" t="s">
        <v>604</v>
      </c>
      <c r="D84" s="59" t="s">
        <v>605</v>
      </c>
      <c r="E84" s="44" t="s">
        <v>359</v>
      </c>
      <c r="F84" s="59" t="s">
        <v>606</v>
      </c>
      <c r="G84" s="59"/>
      <c r="H84" s="59"/>
      <c r="I84" s="59"/>
      <c r="J84" s="59">
        <v>1</v>
      </c>
      <c r="K84" s="59" t="s">
        <v>360</v>
      </c>
      <c r="L84" s="59" t="s">
        <v>592</v>
      </c>
      <c r="M84" s="51"/>
      <c r="N84" s="8" t="s">
        <v>449</v>
      </c>
      <c r="O84" s="46" t="str">
        <f>IFERROR(VLOOKUP($C84,二次物料明细!$A:$N,COLUMN(二次物料明细!H$1),),0)</f>
        <v>邹娇</v>
      </c>
      <c r="P84" s="47">
        <f>IFERROR(VLOOKUP($C84,二次物料明细!$A:$N,COLUMN(二次物料明细!I$1),),0)</f>
        <v>0.21</v>
      </c>
      <c r="Q84" s="47">
        <f>IFERROR(VLOOKUP($C84,二次物料明细!$A:$N,COLUMN(二次物料明细!J$1),),0)</f>
        <v>0</v>
      </c>
      <c r="R84" s="47">
        <f>IFERROR(VLOOKUP($C84,二次物料明细!$A:$N,COLUMN(二次物料明细!K$1),),0)</f>
        <v>0</v>
      </c>
      <c r="S84" s="47">
        <f>IFERROR(VLOOKUP($C84,二次物料明细!$A:$N,COLUMN(二次物料明细!L$1),),0)</f>
        <v>0</v>
      </c>
      <c r="T84" s="47">
        <f t="shared" si="4"/>
        <v>0</v>
      </c>
      <c r="U84" s="47">
        <f t="shared" si="5"/>
        <v>0.21</v>
      </c>
      <c r="V84" s="46" t="str">
        <f>IFERROR(VLOOKUP($C84,二次物料明细!$A:$N,COLUMN(二次物料明细!M$1),),0)</f>
        <v>CNY</v>
      </c>
      <c r="W84" s="46" t="str">
        <f>IFERROR(VLOOKUP($C84,二次物料明细!$A:$N,COLUMN(二次物料明细!N$1),),0)</f>
        <v>询价</v>
      </c>
    </row>
    <row r="85" spans="1:24">
      <c r="A85" s="42">
        <v>6608523073</v>
      </c>
      <c r="B85" s="42" t="s">
        <v>337</v>
      </c>
      <c r="C85" s="59" t="s">
        <v>607</v>
      </c>
      <c r="D85" s="59" t="s">
        <v>608</v>
      </c>
      <c r="E85" s="44" t="s">
        <v>359</v>
      </c>
      <c r="F85" s="59" t="s">
        <v>609</v>
      </c>
      <c r="G85" s="59"/>
      <c r="H85" s="59"/>
      <c r="I85" s="59"/>
      <c r="J85" s="59">
        <v>17</v>
      </c>
      <c r="K85" s="59" t="s">
        <v>360</v>
      </c>
      <c r="L85" s="59" t="s">
        <v>592</v>
      </c>
      <c r="M85" s="51"/>
      <c r="N85" s="8" t="s">
        <v>449</v>
      </c>
      <c r="O85" s="46" t="str">
        <f>IFERROR(VLOOKUP($C85,二次物料明细!$A:$N,COLUMN(二次物料明细!H$1),),0)</f>
        <v>邹娇</v>
      </c>
      <c r="P85" s="47">
        <f>IFERROR(VLOOKUP($C85,二次物料明细!$A:$N,COLUMN(二次物料明细!I$1),),0)</f>
        <v>0.053</v>
      </c>
      <c r="Q85" s="47">
        <f>IFERROR(VLOOKUP($C85,二次物料明细!$A:$N,COLUMN(二次物料明细!J$1),),0)</f>
        <v>0</v>
      </c>
      <c r="R85" s="47">
        <f>IFERROR(VLOOKUP($C85,二次物料明细!$A:$N,COLUMN(二次物料明细!K$1),),0)</f>
        <v>0</v>
      </c>
      <c r="S85" s="47">
        <f>IFERROR(VLOOKUP($C85,二次物料明细!$A:$N,COLUMN(二次物料明细!L$1),),0)</f>
        <v>0</v>
      </c>
      <c r="T85" s="47">
        <f t="shared" si="4"/>
        <v>0</v>
      </c>
      <c r="U85" s="47">
        <f t="shared" si="5"/>
        <v>0.901</v>
      </c>
      <c r="V85" s="46" t="str">
        <f>IFERROR(VLOOKUP($C85,二次物料明细!$A:$N,COLUMN(二次物料明细!M$1),),0)</f>
        <v>CNY</v>
      </c>
      <c r="W85" s="46" t="str">
        <f>IFERROR(VLOOKUP($C85,二次物料明细!$A:$N,COLUMN(二次物料明细!N$1),),0)</f>
        <v>系统价</v>
      </c>
    </row>
    <row r="86" spans="1:24">
      <c r="A86" s="42">
        <v>6608523073</v>
      </c>
      <c r="B86" s="42" t="s">
        <v>337</v>
      </c>
      <c r="C86" s="78" t="s">
        <v>610</v>
      </c>
      <c r="D86" s="78" t="s">
        <v>608</v>
      </c>
      <c r="E86" s="44" t="s">
        <v>359</v>
      </c>
      <c r="F86" s="79" t="s">
        <v>611</v>
      </c>
      <c r="G86" s="44"/>
      <c r="H86" s="58"/>
      <c r="I86" s="44"/>
      <c r="J86" s="80">
        <v>1</v>
      </c>
      <c r="K86" s="81" t="s">
        <v>360</v>
      </c>
      <c r="L86" s="59" t="s">
        <v>592</v>
      </c>
      <c r="M86" s="51"/>
      <c r="N86" s="8" t="s">
        <v>449</v>
      </c>
      <c r="O86" s="46" t="str">
        <f>IFERROR(VLOOKUP($C86,二次物料明细!$A:$N,COLUMN(二次物料明细!H$1),),0)</f>
        <v>邹娇</v>
      </c>
      <c r="P86" s="47">
        <f>IFERROR(VLOOKUP($C86,二次物料明细!$A:$N,COLUMN(二次物料明细!I$1),),0)</f>
        <v>0.25</v>
      </c>
      <c r="Q86" s="47">
        <f>IFERROR(VLOOKUP($C86,二次物料明细!$A:$N,COLUMN(二次物料明细!J$1),),0)</f>
        <v>0</v>
      </c>
      <c r="R86" s="47">
        <f>IFERROR(VLOOKUP($C86,二次物料明细!$A:$N,COLUMN(二次物料明细!K$1),),0)</f>
        <v>0</v>
      </c>
      <c r="S86" s="47">
        <f>IFERROR(VLOOKUP($C86,二次物料明细!$A:$N,COLUMN(二次物料明细!L$1),),0)</f>
        <v>0</v>
      </c>
      <c r="T86" s="47">
        <f t="shared" si="4"/>
        <v>0</v>
      </c>
      <c r="U86" s="47">
        <f t="shared" si="5"/>
        <v>0.25</v>
      </c>
      <c r="V86" s="46" t="str">
        <f>IFERROR(VLOOKUP($C86,二次物料明细!$A:$N,COLUMN(二次物料明细!M$1),),0)</f>
        <v>CNY</v>
      </c>
      <c r="W86" s="46" t="str">
        <f>IFERROR(VLOOKUP($C86,二次物料明细!$A:$N,COLUMN(二次物料明细!N$1),),0)</f>
        <v>系统价</v>
      </c>
    </row>
    <row r="87" spans="1:24">
      <c r="A87" s="42">
        <v>6608523073</v>
      </c>
      <c r="B87" s="42" t="s">
        <v>337</v>
      </c>
      <c r="C87" s="80" t="s">
        <v>612</v>
      </c>
      <c r="D87" s="80" t="s">
        <v>613</v>
      </c>
      <c r="E87" s="44" t="s">
        <v>359</v>
      </c>
      <c r="F87" s="44">
        <v>70002052</v>
      </c>
      <c r="G87" s="44"/>
      <c r="H87" s="80"/>
      <c r="I87" s="44"/>
      <c r="J87" s="80">
        <v>1</v>
      </c>
      <c r="K87" s="80" t="s">
        <v>360</v>
      </c>
      <c r="L87" s="80" t="s">
        <v>614</v>
      </c>
      <c r="M87" s="51"/>
      <c r="N87" s="8" t="s">
        <v>449</v>
      </c>
      <c r="O87" s="46">
        <f>IFERROR(VLOOKUP($C87,二次物料明细!$A:$N,COLUMN(二次物料明细!H$1),),0)</f>
        <v>0</v>
      </c>
      <c r="P87" s="47">
        <f>IFERROR(VLOOKUP($C87,二次物料明细!$A:$N,COLUMN(二次物料明细!I$1),),0)</f>
        <v>0.055</v>
      </c>
      <c r="Q87" s="47">
        <f>IFERROR(VLOOKUP($C87,二次物料明细!$A:$N,COLUMN(二次物料明细!J$1),),0)</f>
        <v>0</v>
      </c>
      <c r="R87" s="47">
        <f>IFERROR(VLOOKUP($C87,二次物料明细!$A:$N,COLUMN(二次物料明细!K$1),),0)</f>
        <v>0</v>
      </c>
      <c r="S87" s="47">
        <f>IFERROR(VLOOKUP($C87,二次物料明细!$A:$N,COLUMN(二次物料明细!L$1),),0)</f>
        <v>0</v>
      </c>
      <c r="T87" s="47">
        <f t="shared" si="4"/>
        <v>0</v>
      </c>
      <c r="U87" s="47">
        <f t="shared" si="5"/>
        <v>0.055</v>
      </c>
      <c r="V87" s="46" t="str">
        <f>IFERROR(VLOOKUP($C87,二次物料明细!$A:$N,COLUMN(二次物料明细!M$1),),0)</f>
        <v>CNY</v>
      </c>
      <c r="W87" s="46" t="str">
        <f>IFERROR(VLOOKUP($C87,二次物料明细!$A:$N,COLUMN(二次物料明细!N$1),),0)</f>
        <v>系统价</v>
      </c>
      <c r="X87" s="34"/>
    </row>
    <row r="88" spans="1:24">
      <c r="A88" s="30">
        <v>6608523072</v>
      </c>
      <c r="B88" s="30" t="s">
        <v>339</v>
      </c>
      <c r="C88" s="59" t="s">
        <v>615</v>
      </c>
      <c r="D88" s="43" t="s">
        <v>406</v>
      </c>
      <c r="E88" s="43" t="s">
        <v>359</v>
      </c>
      <c r="F88" s="43" t="s">
        <v>616</v>
      </c>
      <c r="G88" s="43"/>
      <c r="H88" s="43"/>
      <c r="I88" s="43"/>
      <c r="J88" s="43">
        <v>1</v>
      </c>
      <c r="K88" s="43" t="s">
        <v>360</v>
      </c>
      <c r="L88" s="43" t="s">
        <v>408</v>
      </c>
      <c r="M88" s="50" t="s">
        <v>617</v>
      </c>
      <c r="N88" s="8" t="s">
        <v>363</v>
      </c>
      <c r="O88" s="46" t="str">
        <f>IFERROR(VLOOKUP($C88,二次物料明细!$A:$N,COLUMN(二次物料明细!H$1),),0)</f>
        <v>胡继燕</v>
      </c>
      <c r="P88" s="47">
        <f>IFERROR(VLOOKUP($C88,二次物料明细!$A:$N,COLUMN(二次物料明细!I$1),),0)</f>
        <v>24</v>
      </c>
      <c r="Q88" s="47">
        <f>IFERROR(VLOOKUP($C88,二次物料明细!$A:$N,COLUMN(二次物料明细!J$1),),0)</f>
        <v>0</v>
      </c>
      <c r="R88" s="47">
        <f>IFERROR(VLOOKUP($C88,二次物料明细!$A:$N,COLUMN(二次物料明细!K$1),),0)</f>
        <v>0</v>
      </c>
      <c r="S88" s="47">
        <f>IFERROR(VLOOKUP($C88,二次物料明细!$A:$N,COLUMN(二次物料明细!L$1),),0)</f>
        <v>0</v>
      </c>
      <c r="T88" s="47">
        <f t="shared" si="4"/>
        <v>0</v>
      </c>
      <c r="U88" s="47">
        <f t="shared" si="5"/>
        <v>24</v>
      </c>
      <c r="V88" s="46">
        <f>IFERROR(VLOOKUP($C88,二次物料明细!$A:$N,COLUMN(二次物料明细!M$1),),0)</f>
        <v>0</v>
      </c>
      <c r="W88" s="46" t="str">
        <f>IFERROR(VLOOKUP($C88,二次物料明细!$A:$N,COLUMN(二次物料明细!N$1),),0)</f>
        <v>总成参考价</v>
      </c>
    </row>
    <row r="89" spans="1:24">
      <c r="A89" s="30">
        <v>6608523072</v>
      </c>
      <c r="B89" s="30" t="s">
        <v>339</v>
      </c>
      <c r="C89" s="59" t="s">
        <v>410</v>
      </c>
      <c r="D89" s="43" t="s">
        <v>411</v>
      </c>
      <c r="E89" s="43" t="s">
        <v>359</v>
      </c>
      <c r="F89" s="43" t="s">
        <v>412</v>
      </c>
      <c r="G89" s="43"/>
      <c r="H89" s="43"/>
      <c r="I89" s="43"/>
      <c r="J89" s="43">
        <v>2</v>
      </c>
      <c r="K89" s="43" t="s">
        <v>360</v>
      </c>
      <c r="L89" s="43" t="s">
        <v>408</v>
      </c>
      <c r="M89" s="50"/>
      <c r="N89" s="8" t="s">
        <v>363</v>
      </c>
      <c r="O89" s="46" t="str">
        <f>IFERROR(VLOOKUP($C89,二次物料明细!$A:$N,COLUMN(二次物料明细!H$1),),0)</f>
        <v>胡继燕</v>
      </c>
      <c r="P89" s="47">
        <f>IFERROR(VLOOKUP($C89,二次物料明细!$A:$N,COLUMN(二次物料明细!I$1),),0)</f>
        <v>0</v>
      </c>
      <c r="Q89" s="47">
        <f>IFERROR(VLOOKUP($C89,二次物料明细!$A:$N,COLUMN(二次物料明细!J$1),),0)</f>
        <v>0</v>
      </c>
      <c r="R89" s="47">
        <f>IFERROR(VLOOKUP($C89,二次物料明细!$A:$N,COLUMN(二次物料明细!K$1),),0)</f>
        <v>0</v>
      </c>
      <c r="S89" s="47">
        <f>IFERROR(VLOOKUP($C89,二次物料明细!$A:$N,COLUMN(二次物料明细!L$1),),0)</f>
        <v>0</v>
      </c>
      <c r="T89" s="47">
        <f t="shared" si="4"/>
        <v>0</v>
      </c>
      <c r="U89" s="47">
        <f t="shared" si="5"/>
        <v>0</v>
      </c>
      <c r="V89" s="46">
        <f>IFERROR(VLOOKUP($C89,二次物料明细!$A:$N,COLUMN(二次物料明细!M$1),),0)</f>
        <v>0</v>
      </c>
      <c r="W89" s="46" t="str">
        <f>IFERROR(VLOOKUP($C89,二次物料明细!$A:$N,COLUMN(二次物料明细!N$1),),0)</f>
        <v>散件</v>
      </c>
    </row>
    <row r="90" spans="1:24">
      <c r="A90" s="30">
        <v>6608523072</v>
      </c>
      <c r="B90" s="30" t="s">
        <v>339</v>
      </c>
      <c r="C90" s="59" t="s">
        <v>618</v>
      </c>
      <c r="D90" s="43" t="s">
        <v>414</v>
      </c>
      <c r="E90" s="43" t="s">
        <v>359</v>
      </c>
      <c r="F90" s="43" t="s">
        <v>619</v>
      </c>
      <c r="G90" s="43"/>
      <c r="H90" s="43"/>
      <c r="I90" s="43"/>
      <c r="J90" s="43">
        <v>2</v>
      </c>
      <c r="K90" s="43" t="s">
        <v>360</v>
      </c>
      <c r="L90" s="43" t="s">
        <v>408</v>
      </c>
      <c r="M90" s="50"/>
      <c r="N90" s="8" t="s">
        <v>363</v>
      </c>
      <c r="O90" s="46" t="str">
        <f>IFERROR(VLOOKUP($C90,二次物料明细!$A:$N,COLUMN(二次物料明细!H$1),),0)</f>
        <v>胡继燕</v>
      </c>
      <c r="P90" s="47">
        <f>IFERROR(VLOOKUP($C90,二次物料明细!$A:$N,COLUMN(二次物料明细!I$1),),0)</f>
        <v>0</v>
      </c>
      <c r="Q90" s="47">
        <f>IFERROR(VLOOKUP($C90,二次物料明细!$A:$N,COLUMN(二次物料明细!J$1),),0)</f>
        <v>0</v>
      </c>
      <c r="R90" s="47">
        <f>IFERROR(VLOOKUP($C90,二次物料明细!$A:$N,COLUMN(二次物料明细!K$1),),0)</f>
        <v>0</v>
      </c>
      <c r="S90" s="47">
        <f>IFERROR(VLOOKUP($C90,二次物料明细!$A:$N,COLUMN(二次物料明细!L$1),),0)</f>
        <v>0</v>
      </c>
      <c r="T90" s="47">
        <f t="shared" si="4"/>
        <v>0</v>
      </c>
      <c r="U90" s="47">
        <f t="shared" si="5"/>
        <v>0</v>
      </c>
      <c r="V90" s="46">
        <f>IFERROR(VLOOKUP($C90,二次物料明细!$A:$N,COLUMN(二次物料明细!M$1),),0)</f>
        <v>0</v>
      </c>
      <c r="W90" s="46" t="str">
        <f>IFERROR(VLOOKUP($C90,二次物料明细!$A:$N,COLUMN(二次物料明细!N$1),),0)</f>
        <v>散件</v>
      </c>
      <c r="X90" s="34"/>
    </row>
    <row r="91" spans="1:24">
      <c r="A91" s="30">
        <v>6608523072</v>
      </c>
      <c r="B91" s="30" t="s">
        <v>339</v>
      </c>
      <c r="C91" s="59" t="s">
        <v>620</v>
      </c>
      <c r="D91" s="43" t="s">
        <v>621</v>
      </c>
      <c r="E91" s="43" t="s">
        <v>359</v>
      </c>
      <c r="F91" s="43" t="s">
        <v>622</v>
      </c>
      <c r="G91" s="43"/>
      <c r="H91" s="43"/>
      <c r="I91" s="43"/>
      <c r="J91" s="43">
        <v>2</v>
      </c>
      <c r="K91" s="43" t="s">
        <v>360</v>
      </c>
      <c r="L91" s="43" t="s">
        <v>408</v>
      </c>
      <c r="M91" s="50"/>
      <c r="N91" s="8" t="s">
        <v>363</v>
      </c>
      <c r="O91" s="46" t="str">
        <f>IFERROR(VLOOKUP($C91,二次物料明细!$A:$N,COLUMN(二次物料明细!H$1),),0)</f>
        <v>胡继燕</v>
      </c>
      <c r="P91" s="47">
        <f>IFERROR(VLOOKUP($C91,二次物料明细!$A:$N,COLUMN(二次物料明细!I$1),),0)</f>
        <v>0</v>
      </c>
      <c r="Q91" s="47">
        <f>IFERROR(VLOOKUP($C91,二次物料明细!$A:$N,COLUMN(二次物料明细!J$1),),0)</f>
        <v>0</v>
      </c>
      <c r="R91" s="47">
        <f>IFERROR(VLOOKUP($C91,二次物料明细!$A:$N,COLUMN(二次物料明细!K$1),),0)</f>
        <v>0</v>
      </c>
      <c r="S91" s="47">
        <f>IFERROR(VLOOKUP($C91,二次物料明细!$A:$N,COLUMN(二次物料明细!L$1),),0)</f>
        <v>0</v>
      </c>
      <c r="T91" s="47">
        <f t="shared" si="4"/>
        <v>0</v>
      </c>
      <c r="U91" s="47">
        <f t="shared" si="5"/>
        <v>0</v>
      </c>
      <c r="V91" s="46">
        <f>IFERROR(VLOOKUP($C91,二次物料明细!$A:$N,COLUMN(二次物料明细!M$1),),0)</f>
        <v>0</v>
      </c>
      <c r="W91" s="46" t="str">
        <f>IFERROR(VLOOKUP($C91,二次物料明细!$A:$N,COLUMN(二次物料明细!N$1),),0)</f>
        <v>散件</v>
      </c>
    </row>
    <row r="92" spans="1:24">
      <c r="A92" s="30">
        <v>6608523072</v>
      </c>
      <c r="B92" s="30" t="s">
        <v>339</v>
      </c>
      <c r="C92" s="59" t="s">
        <v>623</v>
      </c>
      <c r="D92" s="43" t="s">
        <v>624</v>
      </c>
      <c r="E92" s="43" t="s">
        <v>359</v>
      </c>
      <c r="F92" s="43" t="s">
        <v>625</v>
      </c>
      <c r="G92" s="43"/>
      <c r="H92" s="43"/>
      <c r="I92" s="43"/>
      <c r="J92" s="43">
        <v>2</v>
      </c>
      <c r="K92" s="43" t="s">
        <v>360</v>
      </c>
      <c r="L92" s="43" t="s">
        <v>408</v>
      </c>
      <c r="M92" s="50"/>
      <c r="N92" s="8" t="s">
        <v>363</v>
      </c>
      <c r="O92" s="46" t="str">
        <f>IFERROR(VLOOKUP($C92,二次物料明细!$A:$N,COLUMN(二次物料明细!H$1),),0)</f>
        <v>胡继燕</v>
      </c>
      <c r="P92" s="47">
        <f>IFERROR(VLOOKUP($C92,二次物料明细!$A:$N,COLUMN(二次物料明细!I$1),),0)</f>
        <v>0</v>
      </c>
      <c r="Q92" s="47">
        <f>IFERROR(VLOOKUP($C92,二次物料明细!$A:$N,COLUMN(二次物料明细!J$1),),0)</f>
        <v>0</v>
      </c>
      <c r="R92" s="47">
        <f>IFERROR(VLOOKUP($C92,二次物料明细!$A:$N,COLUMN(二次物料明细!K$1),),0)</f>
        <v>0</v>
      </c>
      <c r="S92" s="47">
        <f>IFERROR(VLOOKUP($C92,二次物料明细!$A:$N,COLUMN(二次物料明细!L$1),),0)</f>
        <v>0</v>
      </c>
      <c r="T92" s="47">
        <f t="shared" si="4"/>
        <v>0</v>
      </c>
      <c r="U92" s="47">
        <f t="shared" si="5"/>
        <v>0</v>
      </c>
      <c r="V92" s="46">
        <f>IFERROR(VLOOKUP($C92,二次物料明细!$A:$N,COLUMN(二次物料明细!M$1),),0)</f>
        <v>0</v>
      </c>
      <c r="W92" s="46" t="str">
        <f>IFERROR(VLOOKUP($C92,二次物料明细!$A:$N,COLUMN(二次物料明细!N$1),),0)</f>
        <v>散件</v>
      </c>
      <c r="X92" s="34"/>
    </row>
    <row r="93" spans="1:24">
      <c r="A93" s="30">
        <v>6608523072</v>
      </c>
      <c r="B93" s="30" t="s">
        <v>339</v>
      </c>
      <c r="C93" s="59" t="s">
        <v>626</v>
      </c>
      <c r="D93" s="43" t="s">
        <v>627</v>
      </c>
      <c r="E93" s="43" t="s">
        <v>359</v>
      </c>
      <c r="F93" s="43" t="s">
        <v>628</v>
      </c>
      <c r="G93" s="43"/>
      <c r="H93" s="43"/>
      <c r="I93" s="43"/>
      <c r="J93" s="43">
        <v>2</v>
      </c>
      <c r="K93" s="43" t="s">
        <v>360</v>
      </c>
      <c r="L93" s="43" t="s">
        <v>408</v>
      </c>
      <c r="M93" s="50"/>
      <c r="N93" s="8" t="s">
        <v>363</v>
      </c>
      <c r="O93" s="46" t="str">
        <f>IFERROR(VLOOKUP($C93,二次物料明细!$A:$N,COLUMN(二次物料明细!H$1),),0)</f>
        <v>胡继燕</v>
      </c>
      <c r="P93" s="47">
        <f>IFERROR(VLOOKUP($C93,二次物料明细!$A:$N,COLUMN(二次物料明细!I$1),),0)</f>
        <v>0</v>
      </c>
      <c r="Q93" s="47">
        <f>IFERROR(VLOOKUP($C93,二次物料明细!$A:$N,COLUMN(二次物料明细!J$1),),0)</f>
        <v>0</v>
      </c>
      <c r="R93" s="47">
        <f>IFERROR(VLOOKUP($C93,二次物料明细!$A:$N,COLUMN(二次物料明细!K$1),),0)</f>
        <v>0</v>
      </c>
      <c r="S93" s="47">
        <f>IFERROR(VLOOKUP($C93,二次物料明细!$A:$N,COLUMN(二次物料明细!L$1),),0)</f>
        <v>0</v>
      </c>
      <c r="T93" s="47">
        <f t="shared" si="4"/>
        <v>0</v>
      </c>
      <c r="U93" s="47">
        <f t="shared" si="5"/>
        <v>0</v>
      </c>
      <c r="V93" s="46">
        <f>IFERROR(VLOOKUP($C93,二次物料明细!$A:$N,COLUMN(二次物料明细!M$1),),0)</f>
        <v>0</v>
      </c>
      <c r="W93" s="46" t="str">
        <f>IFERROR(VLOOKUP($C93,二次物料明细!$A:$N,COLUMN(二次物料明细!N$1),),0)</f>
        <v>散件</v>
      </c>
    </row>
    <row r="94" spans="1:24">
      <c r="A94" s="30">
        <v>6608523072</v>
      </c>
      <c r="B94" s="30" t="s">
        <v>339</v>
      </c>
      <c r="C94" s="59" t="s">
        <v>629</v>
      </c>
      <c r="D94" s="43" t="s">
        <v>630</v>
      </c>
      <c r="E94" s="43" t="s">
        <v>359</v>
      </c>
      <c r="F94" s="43" t="s">
        <v>631</v>
      </c>
      <c r="G94" s="43"/>
      <c r="H94" s="43"/>
      <c r="I94" s="43"/>
      <c r="J94" s="43">
        <v>2</v>
      </c>
      <c r="K94" s="43" t="s">
        <v>360</v>
      </c>
      <c r="L94" s="43" t="s">
        <v>408</v>
      </c>
      <c r="M94" s="50"/>
      <c r="N94" s="8" t="s">
        <v>363</v>
      </c>
      <c r="O94" s="46" t="str">
        <f>IFERROR(VLOOKUP($C94,二次物料明细!$A:$N,COLUMN(二次物料明细!H$1),),0)</f>
        <v>胡继燕</v>
      </c>
      <c r="P94" s="47">
        <f>IFERROR(VLOOKUP($C94,二次物料明细!$A:$N,COLUMN(二次物料明细!I$1),),0)</f>
        <v>0</v>
      </c>
      <c r="Q94" s="47">
        <f>IFERROR(VLOOKUP($C94,二次物料明细!$A:$N,COLUMN(二次物料明细!J$1),),0)</f>
        <v>0</v>
      </c>
      <c r="R94" s="47">
        <f>IFERROR(VLOOKUP($C94,二次物料明细!$A:$N,COLUMN(二次物料明细!K$1),),0)</f>
        <v>0</v>
      </c>
      <c r="S94" s="47">
        <f>IFERROR(VLOOKUP($C94,二次物料明细!$A:$N,COLUMN(二次物料明细!L$1),),0)</f>
        <v>0</v>
      </c>
      <c r="T94" s="47">
        <f t="shared" si="4"/>
        <v>0</v>
      </c>
      <c r="U94" s="47">
        <f t="shared" si="5"/>
        <v>0</v>
      </c>
      <c r="V94" s="46">
        <f>IFERROR(VLOOKUP($C94,二次物料明细!$A:$N,COLUMN(二次物料明细!M$1),),0)</f>
        <v>0</v>
      </c>
      <c r="W94" s="46" t="str">
        <f>IFERROR(VLOOKUP($C94,二次物料明细!$A:$N,COLUMN(二次物料明细!N$1),),0)</f>
        <v>散件</v>
      </c>
    </row>
    <row r="95" spans="1:24">
      <c r="A95" s="30">
        <v>6608523072</v>
      </c>
      <c r="B95" s="30" t="s">
        <v>339</v>
      </c>
      <c r="C95" s="59" t="s">
        <v>632</v>
      </c>
      <c r="D95" s="43" t="s">
        <v>633</v>
      </c>
      <c r="E95" s="43" t="s">
        <v>359</v>
      </c>
      <c r="F95" s="43" t="s">
        <v>634</v>
      </c>
      <c r="G95" s="43"/>
      <c r="H95" s="82"/>
      <c r="I95" s="82"/>
      <c r="J95" s="82">
        <v>2</v>
      </c>
      <c r="K95" s="82" t="s">
        <v>360</v>
      </c>
      <c r="L95" s="82" t="s">
        <v>408</v>
      </c>
      <c r="M95" s="50"/>
      <c r="N95" s="8" t="s">
        <v>363</v>
      </c>
      <c r="O95" s="46" t="str">
        <f>IFERROR(VLOOKUP($C95,二次物料明细!$A:$N,COLUMN(二次物料明细!H$1),),0)</f>
        <v>胡继燕</v>
      </c>
      <c r="P95" s="47">
        <f>IFERROR(VLOOKUP($C95,二次物料明细!$A:$N,COLUMN(二次物料明细!I$1),),0)</f>
        <v>0</v>
      </c>
      <c r="Q95" s="47">
        <f>IFERROR(VLOOKUP($C95,二次物料明细!$A:$N,COLUMN(二次物料明细!J$1),),0)</f>
        <v>0</v>
      </c>
      <c r="R95" s="47">
        <f>IFERROR(VLOOKUP($C95,二次物料明细!$A:$N,COLUMN(二次物料明细!K$1),),0)</f>
        <v>0</v>
      </c>
      <c r="S95" s="47">
        <f>IFERROR(VLOOKUP($C95,二次物料明细!$A:$N,COLUMN(二次物料明细!L$1),),0)</f>
        <v>0</v>
      </c>
      <c r="T95" s="47">
        <f t="shared" si="4"/>
        <v>0</v>
      </c>
      <c r="U95" s="47">
        <f t="shared" si="5"/>
        <v>0</v>
      </c>
      <c r="V95" s="46">
        <f>IFERROR(VLOOKUP($C95,二次物料明细!$A:$N,COLUMN(二次物料明细!M$1),),0)</f>
        <v>0</v>
      </c>
      <c r="W95" s="46" t="str">
        <f>IFERROR(VLOOKUP($C95,二次物料明细!$A:$N,COLUMN(二次物料明细!N$1),),0)</f>
        <v>散件</v>
      </c>
    </row>
    <row r="96" spans="1:24">
      <c r="A96" s="30">
        <v>6608523072</v>
      </c>
      <c r="B96" s="30" t="s">
        <v>339</v>
      </c>
      <c r="C96" s="59" t="s">
        <v>635</v>
      </c>
      <c r="D96" s="43" t="s">
        <v>636</v>
      </c>
      <c r="E96" s="43" t="s">
        <v>359</v>
      </c>
      <c r="F96" s="43" t="s">
        <v>637</v>
      </c>
      <c r="G96" s="44"/>
      <c r="H96" s="43"/>
      <c r="I96" s="43"/>
      <c r="J96" s="43">
        <v>1</v>
      </c>
      <c r="K96" s="43" t="s">
        <v>360</v>
      </c>
      <c r="L96" s="43" t="s">
        <v>361</v>
      </c>
      <c r="M96" s="50" t="s">
        <v>638</v>
      </c>
      <c r="N96" s="8" t="s">
        <v>363</v>
      </c>
      <c r="O96" s="46" t="str">
        <f>IFERROR(VLOOKUP($C96,二次物料明细!$A:$N,COLUMN(二次物料明细!H$1),),0)</f>
        <v>江苏林</v>
      </c>
      <c r="P96" s="47">
        <f>IFERROR(VLOOKUP($C96,二次物料明细!$A:$N,COLUMN(二次物料明细!I$1),),0)</f>
        <v>10.235</v>
      </c>
      <c r="Q96" s="47">
        <f>IFERROR(VLOOKUP($C96,二次物料明细!$A:$N,COLUMN(二次物料明细!J$1),),0)</f>
        <v>0</v>
      </c>
      <c r="R96" s="47">
        <f>IFERROR(VLOOKUP($C96,二次物料明细!$A:$N,COLUMN(二次物料明细!K$1),),0)</f>
        <v>0</v>
      </c>
      <c r="S96" s="47">
        <f>IFERROR(VLOOKUP($C96,二次物料明细!$A:$N,COLUMN(二次物料明细!L$1),),0)</f>
        <v>0</v>
      </c>
      <c r="T96" s="47">
        <f t="shared" si="4"/>
        <v>0</v>
      </c>
      <c r="U96" s="47">
        <f t="shared" si="5"/>
        <v>10.235</v>
      </c>
      <c r="V96" s="46" t="str">
        <f>IFERROR(VLOOKUP($C96,二次物料明细!$A:$N,COLUMN(二次物料明细!M$1),),0)</f>
        <v>CNY</v>
      </c>
      <c r="W96" s="46" t="str">
        <f>IFERROR(VLOOKUP($C96,二次物料明细!$A:$N,COLUMN(二次物料明细!N$1),),0)</f>
        <v>询价</v>
      </c>
    </row>
    <row r="97" spans="1:24">
      <c r="A97" s="30">
        <v>6608523072</v>
      </c>
      <c r="B97" s="30" t="s">
        <v>339</v>
      </c>
      <c r="C97" s="43" t="s">
        <v>639</v>
      </c>
      <c r="D97" s="43" t="s">
        <v>640</v>
      </c>
      <c r="E97" s="43" t="s">
        <v>359</v>
      </c>
      <c r="F97" s="43" t="s">
        <v>641</v>
      </c>
      <c r="G97" s="44"/>
      <c r="H97" s="43"/>
      <c r="I97" s="43"/>
      <c r="J97" s="43">
        <v>2</v>
      </c>
      <c r="K97" s="43" t="s">
        <v>360</v>
      </c>
      <c r="L97" s="43" t="s">
        <v>361</v>
      </c>
      <c r="M97" s="50"/>
      <c r="N97" s="8" t="s">
        <v>363</v>
      </c>
      <c r="O97" s="46" t="str">
        <f>IFERROR(VLOOKUP($C97,二次物料明细!$A:$N,COLUMN(二次物料明细!H$1),),0)</f>
        <v>江苏林</v>
      </c>
      <c r="P97" s="47">
        <f>IFERROR(VLOOKUP($C97,二次物料明细!$A:$N,COLUMN(二次物料明细!I$1),),0)</f>
        <v>3.399</v>
      </c>
      <c r="Q97" s="47">
        <f>IFERROR(VLOOKUP($C97,二次物料明细!$A:$N,COLUMN(二次物料明细!J$1),),0)</f>
        <v>0</v>
      </c>
      <c r="R97" s="47">
        <f>IFERROR(VLOOKUP($C97,二次物料明细!$A:$N,COLUMN(二次物料明细!K$1),),0)</f>
        <v>0</v>
      </c>
      <c r="S97" s="47">
        <f>IFERROR(VLOOKUP($C97,二次物料明细!$A:$N,COLUMN(二次物料明细!L$1),),0)</f>
        <v>0</v>
      </c>
      <c r="T97" s="47">
        <f t="shared" si="4"/>
        <v>0</v>
      </c>
      <c r="U97" s="47">
        <f t="shared" si="5"/>
        <v>6.798</v>
      </c>
      <c r="V97" s="46" t="str">
        <f>IFERROR(VLOOKUP($C97,二次物料明细!$A:$N,COLUMN(二次物料明细!M$1),),0)</f>
        <v>CNY</v>
      </c>
      <c r="W97" s="46" t="str">
        <f>IFERROR(VLOOKUP($C97,二次物料明细!$A:$N,COLUMN(二次物料明细!N$1),),0)</f>
        <v>询价</v>
      </c>
    </row>
    <row r="98" spans="1:24">
      <c r="A98" s="30">
        <v>6608523072</v>
      </c>
      <c r="B98" s="30" t="s">
        <v>339</v>
      </c>
      <c r="C98" s="43" t="s">
        <v>642</v>
      </c>
      <c r="D98" s="43" t="s">
        <v>643</v>
      </c>
      <c r="E98" s="43" t="s">
        <v>359</v>
      </c>
      <c r="F98" s="43" t="s">
        <v>644</v>
      </c>
      <c r="G98" s="43"/>
      <c r="H98" s="43"/>
      <c r="I98" s="43"/>
      <c r="J98" s="43">
        <v>2</v>
      </c>
      <c r="K98" s="43" t="s">
        <v>360</v>
      </c>
      <c r="L98" s="43" t="s">
        <v>361</v>
      </c>
      <c r="M98" s="50"/>
      <c r="N98" s="8" t="s">
        <v>363</v>
      </c>
      <c r="O98" s="46" t="str">
        <f>IFERROR(VLOOKUP($C98,二次物料明细!$A:$N,COLUMN(二次物料明细!H$1),),0)</f>
        <v>江苏林</v>
      </c>
      <c r="P98" s="47">
        <f>IFERROR(VLOOKUP($C98,二次物料明细!$A:$N,COLUMN(二次物料明细!I$1),),0)</f>
        <v>2.8152</v>
      </c>
      <c r="Q98" s="47">
        <f>IFERROR(VLOOKUP($C98,二次物料明细!$A:$N,COLUMN(二次物料明细!J$1),),0)</f>
        <v>0</v>
      </c>
      <c r="R98" s="47">
        <f>IFERROR(VLOOKUP($C98,二次物料明细!$A:$N,COLUMN(二次物料明细!K$1),),0)</f>
        <v>0</v>
      </c>
      <c r="S98" s="47">
        <f>IFERROR(VLOOKUP($C98,二次物料明细!$A:$N,COLUMN(二次物料明细!L$1),),0)</f>
        <v>0</v>
      </c>
      <c r="T98" s="47">
        <f t="shared" si="4"/>
        <v>0</v>
      </c>
      <c r="U98" s="47">
        <f t="shared" si="5"/>
        <v>5.6304</v>
      </c>
      <c r="V98" s="46" t="str">
        <f>IFERROR(VLOOKUP($C98,二次物料明细!$A:$N,COLUMN(二次物料明细!M$1),),0)</f>
        <v>CNY</v>
      </c>
      <c r="W98" s="46" t="str">
        <f>IFERROR(VLOOKUP($C98,二次物料明细!$A:$N,COLUMN(二次物料明细!N$1),),0)</f>
        <v>询价</v>
      </c>
    </row>
    <row r="99" spans="1:24">
      <c r="A99" s="30">
        <v>6608523072</v>
      </c>
      <c r="B99" s="30" t="s">
        <v>339</v>
      </c>
      <c r="C99" s="43" t="s">
        <v>645</v>
      </c>
      <c r="D99" s="43" t="s">
        <v>646</v>
      </c>
      <c r="E99" s="43" t="s">
        <v>359</v>
      </c>
      <c r="F99" s="43" t="s">
        <v>647</v>
      </c>
      <c r="G99" s="43"/>
      <c r="H99" s="43"/>
      <c r="I99" s="43"/>
      <c r="J99" s="43">
        <v>2</v>
      </c>
      <c r="K99" s="43" t="s">
        <v>360</v>
      </c>
      <c r="L99" s="43" t="s">
        <v>361</v>
      </c>
      <c r="M99" s="50"/>
      <c r="N99" s="8" t="s">
        <v>363</v>
      </c>
      <c r="O99" s="46" t="str">
        <f>IFERROR(VLOOKUP($C99,二次物料明细!$A:$N,COLUMN(二次物料明细!H$1),),0)</f>
        <v>江苏林</v>
      </c>
      <c r="P99" s="47">
        <f>IFERROR(VLOOKUP($C99,二次物料明细!$A:$N,COLUMN(二次物料明细!I$1),),0)</f>
        <v>0.4623</v>
      </c>
      <c r="Q99" s="47">
        <f>IFERROR(VLOOKUP($C99,二次物料明细!$A:$N,COLUMN(二次物料明细!J$1),),0)</f>
        <v>0</v>
      </c>
      <c r="R99" s="47">
        <f>IFERROR(VLOOKUP($C99,二次物料明细!$A:$N,COLUMN(二次物料明细!K$1),),0)</f>
        <v>0</v>
      </c>
      <c r="S99" s="47">
        <f>IFERROR(VLOOKUP($C99,二次物料明细!$A:$N,COLUMN(二次物料明细!L$1),),0)</f>
        <v>0</v>
      </c>
      <c r="T99" s="47">
        <f t="shared" si="4"/>
        <v>0</v>
      </c>
      <c r="U99" s="47">
        <f t="shared" si="5"/>
        <v>0.9246</v>
      </c>
      <c r="V99" s="46" t="str">
        <f>IFERROR(VLOOKUP($C99,二次物料明细!$A:$N,COLUMN(二次物料明细!M$1),),0)</f>
        <v>CNY</v>
      </c>
      <c r="W99" s="46" t="str">
        <f>IFERROR(VLOOKUP($C99,二次物料明细!$A:$N,COLUMN(二次物料明细!N$1),),0)</f>
        <v>询价</v>
      </c>
    </row>
    <row r="100" spans="1:24">
      <c r="A100" s="30">
        <v>6608523072</v>
      </c>
      <c r="B100" s="30" t="s">
        <v>339</v>
      </c>
      <c r="C100" s="43" t="s">
        <v>648</v>
      </c>
      <c r="D100" s="43" t="s">
        <v>649</v>
      </c>
      <c r="E100" s="43" t="s">
        <v>359</v>
      </c>
      <c r="F100" s="43" t="s">
        <v>650</v>
      </c>
      <c r="G100" s="43"/>
      <c r="H100" s="43"/>
      <c r="I100" s="43"/>
      <c r="J100" s="43">
        <v>2</v>
      </c>
      <c r="K100" s="43" t="s">
        <v>360</v>
      </c>
      <c r="L100" s="43" t="s">
        <v>361</v>
      </c>
      <c r="M100" s="50"/>
      <c r="N100" s="8" t="s">
        <v>363</v>
      </c>
      <c r="O100" s="46" t="str">
        <f>IFERROR(VLOOKUP($C100,二次物料明细!$A:$N,COLUMN(二次物料明细!H$1),),0)</f>
        <v>江苏林</v>
      </c>
      <c r="P100" s="47">
        <f>IFERROR(VLOOKUP($C100,二次物料明细!$A:$N,COLUMN(二次物料明细!I$1),),0)</f>
        <v>0.6935</v>
      </c>
      <c r="Q100" s="47">
        <f>IFERROR(VLOOKUP($C100,二次物料明细!$A:$N,COLUMN(二次物料明细!J$1),),0)</f>
        <v>0</v>
      </c>
      <c r="R100" s="47">
        <f>IFERROR(VLOOKUP($C100,二次物料明细!$A:$N,COLUMN(二次物料明细!K$1),),0)</f>
        <v>0</v>
      </c>
      <c r="S100" s="47">
        <f>IFERROR(VLOOKUP($C100,二次物料明细!$A:$N,COLUMN(二次物料明细!L$1),),0)</f>
        <v>0</v>
      </c>
      <c r="T100" s="47">
        <f t="shared" si="4"/>
        <v>0</v>
      </c>
      <c r="U100" s="47">
        <f t="shared" si="5"/>
        <v>1.387</v>
      </c>
      <c r="V100" s="46" t="str">
        <f>IFERROR(VLOOKUP($C100,二次物料明细!$A:$N,COLUMN(二次物料明细!M$1),),0)</f>
        <v>CNY</v>
      </c>
      <c r="W100" s="46" t="str">
        <f>IFERROR(VLOOKUP($C100,二次物料明细!$A:$N,COLUMN(二次物料明细!N$1),),0)</f>
        <v>询价</v>
      </c>
    </row>
    <row r="101" spans="1:24">
      <c r="A101" s="30">
        <v>6608523072</v>
      </c>
      <c r="B101" s="30" t="s">
        <v>339</v>
      </c>
      <c r="C101" s="43" t="s">
        <v>651</v>
      </c>
      <c r="D101" s="43" t="s">
        <v>458</v>
      </c>
      <c r="E101" s="43" t="s">
        <v>359</v>
      </c>
      <c r="F101" s="43" t="s">
        <v>652</v>
      </c>
      <c r="G101" s="44"/>
      <c r="H101" s="43"/>
      <c r="I101" s="43"/>
      <c r="J101" s="43">
        <v>1</v>
      </c>
      <c r="K101" s="43" t="s">
        <v>360</v>
      </c>
      <c r="L101" s="43" t="s">
        <v>361</v>
      </c>
      <c r="M101" s="50"/>
      <c r="N101" s="8" t="s">
        <v>363</v>
      </c>
      <c r="O101" s="46" t="str">
        <f>IFERROR(VLOOKUP($C101,二次物料明细!$A:$N,COLUMN(二次物料明细!H$1),),0)</f>
        <v>江苏林</v>
      </c>
      <c r="P101" s="47">
        <f>IFERROR(VLOOKUP($C101,二次物料明细!$A:$N,COLUMN(二次物料明细!I$1),),0)</f>
        <v>1.1385</v>
      </c>
      <c r="Q101" s="47">
        <f>IFERROR(VLOOKUP($C101,二次物料明细!$A:$N,COLUMN(二次物料明细!J$1),),0)</f>
        <v>0</v>
      </c>
      <c r="R101" s="47">
        <f>IFERROR(VLOOKUP($C101,二次物料明细!$A:$N,COLUMN(二次物料明细!K$1),),0)</f>
        <v>0</v>
      </c>
      <c r="S101" s="47">
        <f>IFERROR(VLOOKUP($C101,二次物料明细!$A:$N,COLUMN(二次物料明细!L$1),),0)</f>
        <v>0</v>
      </c>
      <c r="T101" s="47">
        <f t="shared" si="4"/>
        <v>0</v>
      </c>
      <c r="U101" s="47">
        <f t="shared" si="5"/>
        <v>1.1385</v>
      </c>
      <c r="V101" s="46" t="str">
        <f>IFERROR(VLOOKUP($C101,二次物料明细!$A:$N,COLUMN(二次物料明细!M$1),),0)</f>
        <v>CNY</v>
      </c>
      <c r="W101" s="46" t="str">
        <f>IFERROR(VLOOKUP($C101,二次物料明细!$A:$N,COLUMN(二次物料明细!N$1),),0)</f>
        <v>询价</v>
      </c>
    </row>
    <row r="102" spans="1:24">
      <c r="A102" s="30">
        <v>6608523072</v>
      </c>
      <c r="B102" s="30" t="s">
        <v>339</v>
      </c>
      <c r="C102" s="43" t="s">
        <v>653</v>
      </c>
      <c r="D102" s="43" t="s">
        <v>654</v>
      </c>
      <c r="E102" s="43" t="s">
        <v>359</v>
      </c>
      <c r="F102" s="43" t="s">
        <v>655</v>
      </c>
      <c r="G102" s="83"/>
      <c r="H102" s="43"/>
      <c r="I102" s="43"/>
      <c r="J102" s="43">
        <v>1</v>
      </c>
      <c r="K102" s="43" t="s">
        <v>360</v>
      </c>
      <c r="L102" s="43" t="s">
        <v>361</v>
      </c>
      <c r="M102" s="50"/>
      <c r="N102" s="8" t="s">
        <v>363</v>
      </c>
      <c r="O102" s="46" t="str">
        <f>IFERROR(VLOOKUP($C102,二次物料明细!$A:$N,COLUMN(二次物料明细!H$1),),0)</f>
        <v>江苏林</v>
      </c>
      <c r="P102" s="47">
        <f>IFERROR(VLOOKUP($C102,二次物料明细!$A:$N,COLUMN(二次物料明细!I$1),),0)</f>
        <v>0.9315</v>
      </c>
      <c r="Q102" s="47">
        <f>IFERROR(VLOOKUP($C102,二次物料明细!$A:$N,COLUMN(二次物料明细!J$1),),0)</f>
        <v>0</v>
      </c>
      <c r="R102" s="47">
        <f>IFERROR(VLOOKUP($C102,二次物料明细!$A:$N,COLUMN(二次物料明细!K$1),),0)</f>
        <v>0</v>
      </c>
      <c r="S102" s="47">
        <f>IFERROR(VLOOKUP($C102,二次物料明细!$A:$N,COLUMN(二次物料明细!L$1),),0)</f>
        <v>0</v>
      </c>
      <c r="T102" s="47">
        <f t="shared" si="4"/>
        <v>0</v>
      </c>
      <c r="U102" s="47">
        <f t="shared" si="5"/>
        <v>0.9315</v>
      </c>
      <c r="V102" s="46" t="str">
        <f>IFERROR(VLOOKUP($C102,二次物料明细!$A:$N,COLUMN(二次物料明细!M$1),),0)</f>
        <v>CNY</v>
      </c>
      <c r="W102" s="46" t="str">
        <f>IFERROR(VLOOKUP($C102,二次物料明细!$A:$N,COLUMN(二次物料明细!N$1),),0)</f>
        <v>询价</v>
      </c>
    </row>
    <row r="103" spans="1:24">
      <c r="A103" s="30">
        <v>6608523072</v>
      </c>
      <c r="B103" s="30" t="s">
        <v>339</v>
      </c>
      <c r="C103" s="43" t="s">
        <v>656</v>
      </c>
      <c r="D103" s="43" t="s">
        <v>657</v>
      </c>
      <c r="E103" s="43" t="s">
        <v>359</v>
      </c>
      <c r="F103" s="43" t="s">
        <v>658</v>
      </c>
      <c r="G103" s="43"/>
      <c r="H103" s="43"/>
      <c r="I103" s="43"/>
      <c r="J103" s="43">
        <v>1</v>
      </c>
      <c r="K103" s="43" t="s">
        <v>360</v>
      </c>
      <c r="L103" s="43" t="s">
        <v>361</v>
      </c>
      <c r="M103" s="50"/>
      <c r="N103" s="8" t="s">
        <v>363</v>
      </c>
      <c r="O103" s="46" t="str">
        <f>IFERROR(VLOOKUP($C103,二次物料明细!$A:$N,COLUMN(二次物料明细!H$1),),0)</f>
        <v>江苏林</v>
      </c>
      <c r="P103" s="47">
        <f>IFERROR(VLOOKUP($C103,二次物料明细!$A:$N,COLUMN(二次物料明细!I$1),),0)</f>
        <v>0.6394</v>
      </c>
      <c r="Q103" s="47">
        <f>IFERROR(VLOOKUP($C103,二次物料明细!$A:$N,COLUMN(二次物料明细!J$1),),0)</f>
        <v>0</v>
      </c>
      <c r="R103" s="47">
        <f>IFERROR(VLOOKUP($C103,二次物料明细!$A:$N,COLUMN(二次物料明细!K$1),),0)</f>
        <v>0</v>
      </c>
      <c r="S103" s="47">
        <f>IFERROR(VLOOKUP($C103,二次物料明细!$A:$N,COLUMN(二次物料明细!L$1),),0)</f>
        <v>0</v>
      </c>
      <c r="T103" s="47">
        <f t="shared" si="4"/>
        <v>0</v>
      </c>
      <c r="U103" s="47">
        <f t="shared" si="5"/>
        <v>0.6394</v>
      </c>
      <c r="V103" s="46" t="str">
        <f>IFERROR(VLOOKUP($C103,二次物料明细!$A:$N,COLUMN(二次物料明细!M$1),),0)</f>
        <v>CNY</v>
      </c>
      <c r="W103" s="46" t="str">
        <f>IFERROR(VLOOKUP($C103,二次物料明细!$A:$N,COLUMN(二次物料明细!N$1),),0)</f>
        <v>询价</v>
      </c>
    </row>
    <row r="104" spans="1:24">
      <c r="A104" s="30">
        <v>6608523072</v>
      </c>
      <c r="B104" s="30" t="s">
        <v>339</v>
      </c>
      <c r="C104" s="43" t="s">
        <v>659</v>
      </c>
      <c r="D104" s="43" t="s">
        <v>660</v>
      </c>
      <c r="E104" s="43" t="s">
        <v>359</v>
      </c>
      <c r="F104" s="43" t="s">
        <v>661</v>
      </c>
      <c r="G104" s="44"/>
      <c r="H104" s="43"/>
      <c r="I104" s="43"/>
      <c r="J104" s="43">
        <v>1</v>
      </c>
      <c r="K104" s="43" t="s">
        <v>360</v>
      </c>
      <c r="L104" s="43" t="s">
        <v>361</v>
      </c>
      <c r="M104" s="50"/>
      <c r="N104" s="8" t="s">
        <v>363</v>
      </c>
      <c r="O104" s="46" t="str">
        <f>IFERROR(VLOOKUP($C104,二次物料明细!$A:$N,COLUMN(二次物料明细!H$1),),0)</f>
        <v>江苏林</v>
      </c>
      <c r="P104" s="47">
        <f>IFERROR(VLOOKUP($C104,二次物料明细!$A:$N,COLUMN(二次物料明细!I$1),),0)</f>
        <v>5.5775</v>
      </c>
      <c r="Q104" s="47">
        <f>IFERROR(VLOOKUP($C104,二次物料明细!$A:$N,COLUMN(二次物料明细!J$1),),0)</f>
        <v>0</v>
      </c>
      <c r="R104" s="47">
        <f>IFERROR(VLOOKUP($C104,二次物料明细!$A:$N,COLUMN(二次物料明细!K$1),),0)</f>
        <v>0</v>
      </c>
      <c r="S104" s="47">
        <f>IFERROR(VLOOKUP($C104,二次物料明细!$A:$N,COLUMN(二次物料明细!L$1),),0)</f>
        <v>0</v>
      </c>
      <c r="T104" s="47">
        <f t="shared" si="4"/>
        <v>0</v>
      </c>
      <c r="U104" s="47">
        <f t="shared" si="5"/>
        <v>5.5775</v>
      </c>
      <c r="V104" s="46" t="str">
        <f>IFERROR(VLOOKUP($C104,二次物料明细!$A:$N,COLUMN(二次物料明细!M$1),),0)</f>
        <v>CNY</v>
      </c>
      <c r="W104" s="46" t="str">
        <f>IFERROR(VLOOKUP($C104,二次物料明细!$A:$N,COLUMN(二次物料明细!N$1),),0)</f>
        <v>询价</v>
      </c>
    </row>
    <row r="105" spans="1:24">
      <c r="A105" s="30">
        <v>6608523072</v>
      </c>
      <c r="B105" s="30" t="s">
        <v>339</v>
      </c>
      <c r="C105" s="43" t="s">
        <v>662</v>
      </c>
      <c r="D105" s="43" t="s">
        <v>663</v>
      </c>
      <c r="E105" s="43" t="s">
        <v>359</v>
      </c>
      <c r="F105" s="43" t="s">
        <v>664</v>
      </c>
      <c r="G105" s="44"/>
      <c r="H105" s="43"/>
      <c r="I105" s="43"/>
      <c r="J105" s="43">
        <v>1</v>
      </c>
      <c r="K105" s="43" t="s">
        <v>360</v>
      </c>
      <c r="L105" s="43" t="s">
        <v>361</v>
      </c>
      <c r="M105" s="50"/>
      <c r="N105" s="8" t="s">
        <v>363</v>
      </c>
      <c r="O105" s="46" t="str">
        <f>IFERROR(VLOOKUP($C105,二次物料明细!$A:$N,COLUMN(二次物料明细!H$1),),0)</f>
        <v>江苏林</v>
      </c>
      <c r="P105" s="47">
        <f>IFERROR(VLOOKUP($C105,二次物料明细!$A:$N,COLUMN(二次物料明细!I$1),),0)</f>
        <v>0.1771</v>
      </c>
      <c r="Q105" s="47">
        <f>IFERROR(VLOOKUP($C105,二次物料明细!$A:$N,COLUMN(二次物料明细!J$1),),0)</f>
        <v>0</v>
      </c>
      <c r="R105" s="47">
        <f>IFERROR(VLOOKUP($C105,二次物料明细!$A:$N,COLUMN(二次物料明细!K$1),),0)</f>
        <v>0</v>
      </c>
      <c r="S105" s="47">
        <f>IFERROR(VLOOKUP($C105,二次物料明细!$A:$N,COLUMN(二次物料明细!L$1),),0)</f>
        <v>0</v>
      </c>
      <c r="T105" s="47">
        <f t="shared" si="4"/>
        <v>0</v>
      </c>
      <c r="U105" s="47">
        <f t="shared" si="5"/>
        <v>0.1771</v>
      </c>
      <c r="V105" s="46" t="str">
        <f>IFERROR(VLOOKUP($C105,二次物料明细!$A:$N,COLUMN(二次物料明细!M$1),),0)</f>
        <v>CNY</v>
      </c>
      <c r="W105" s="46" t="str">
        <f>IFERROR(VLOOKUP($C105,二次物料明细!$A:$N,COLUMN(二次物料明细!N$1),),0)</f>
        <v>询价</v>
      </c>
    </row>
    <row r="106" spans="1:24">
      <c r="A106" s="30">
        <v>6608523072</v>
      </c>
      <c r="B106" s="30" t="s">
        <v>339</v>
      </c>
      <c r="C106" s="43" t="s">
        <v>665</v>
      </c>
      <c r="D106" s="43" t="s">
        <v>666</v>
      </c>
      <c r="E106" s="43" t="s">
        <v>359</v>
      </c>
      <c r="F106" s="43" t="s">
        <v>667</v>
      </c>
      <c r="G106" s="43"/>
      <c r="H106" s="43"/>
      <c r="I106" s="43"/>
      <c r="J106" s="43">
        <v>1.429</v>
      </c>
      <c r="K106" s="43" t="s">
        <v>496</v>
      </c>
      <c r="L106" s="43" t="s">
        <v>668</v>
      </c>
      <c r="M106" s="50"/>
      <c r="N106" s="8" t="s">
        <v>449</v>
      </c>
      <c r="O106" s="46" t="str">
        <f>IFERROR(VLOOKUP($C106,二次物料明细!$A:$N,COLUMN(二次物料明细!H$1),),0)</f>
        <v>郑锦清</v>
      </c>
      <c r="P106" s="47">
        <f>IFERROR(VLOOKUP($C106,二次物料明细!$A:$N,COLUMN(二次物料明细!I$1),),0)</f>
        <v>0</v>
      </c>
      <c r="Q106" s="47">
        <f>IFERROR(VLOOKUP($C106,二次物料明细!$A:$N,COLUMN(二次物料明细!J$1),),0)</f>
        <v>151.6</v>
      </c>
      <c r="R106" s="47">
        <f>IFERROR(VLOOKUP($C106,二次物料明细!$A:$N,COLUMN(二次物料明细!K$1),),0)</f>
        <v>15.8</v>
      </c>
      <c r="S106" s="47">
        <f>IFERROR(VLOOKUP($C106,二次物料明细!$A:$N,COLUMN(二次物料明细!L$1),),0)</f>
        <v>11520</v>
      </c>
      <c r="T106" s="47">
        <f t="shared" si="4"/>
        <v>16.163722</v>
      </c>
      <c r="U106" s="47">
        <f t="shared" si="5"/>
        <v>23.097958738</v>
      </c>
      <c r="V106" s="46">
        <f>IFERROR(VLOOKUP($C106,二次物料明细!$A:$N,COLUMN(二次物料明细!M$1),),0)</f>
        <v>0</v>
      </c>
      <c r="W106" s="46" t="str">
        <f>IFERROR(VLOOKUP($C106,二次物料明细!$A:$N,COLUMN(二次物料明细!N$1),),0)</f>
        <v>批量价</v>
      </c>
    </row>
    <row r="107" spans="1:24">
      <c r="A107" s="30">
        <v>6608523072</v>
      </c>
      <c r="B107" s="30" t="s">
        <v>339</v>
      </c>
      <c r="C107" s="43" t="s">
        <v>669</v>
      </c>
      <c r="D107" s="43" t="s">
        <v>670</v>
      </c>
      <c r="E107" s="43" t="s">
        <v>359</v>
      </c>
      <c r="F107" s="43" t="s">
        <v>671</v>
      </c>
      <c r="G107" s="43"/>
      <c r="H107" s="43"/>
      <c r="I107" s="43"/>
      <c r="J107" s="43">
        <v>0.79</v>
      </c>
      <c r="K107" s="43" t="s">
        <v>496</v>
      </c>
      <c r="L107" s="44" t="s">
        <v>547</v>
      </c>
      <c r="M107" s="50"/>
      <c r="N107" s="8" t="s">
        <v>449</v>
      </c>
      <c r="O107" s="46" t="str">
        <f>IFERROR(VLOOKUP($C107,二次物料明细!$A:$N,COLUMN(二次物料明细!H$1),),0)</f>
        <v>董培菊</v>
      </c>
      <c r="P107" s="47">
        <f>IFERROR(VLOOKUP($C107,二次物料明细!$A:$N,COLUMN(二次物料明细!I$1),),0)</f>
        <v>1.14</v>
      </c>
      <c r="Q107" s="47">
        <f>IFERROR(VLOOKUP($C107,二次物料明细!$A:$N,COLUMN(二次物料明细!J$1),),0)</f>
        <v>0</v>
      </c>
      <c r="R107" s="47">
        <f>IFERROR(VLOOKUP($C107,二次物料明细!$A:$N,COLUMN(二次物料明细!K$1),),0)</f>
        <v>0</v>
      </c>
      <c r="S107" s="47">
        <f>IFERROR(VLOOKUP($C107,二次物料明细!$A:$N,COLUMN(二次物料明细!L$1),),0)</f>
        <v>0</v>
      </c>
      <c r="T107" s="47">
        <f t="shared" si="4"/>
        <v>0</v>
      </c>
      <c r="U107" s="47">
        <f t="shared" si="5"/>
        <v>0.9006</v>
      </c>
      <c r="V107" s="46" t="str">
        <f>IFERROR(VLOOKUP($C107,二次物料明细!$A:$N,COLUMN(二次物料明细!M$1),),0)</f>
        <v>CNY</v>
      </c>
      <c r="W107" s="46" t="str">
        <f>IFERROR(VLOOKUP($C107,二次物料明细!$A:$N,COLUMN(二次物料明细!N$1),),0)</f>
        <v>系统价</v>
      </c>
    </row>
    <row r="108" spans="1:24">
      <c r="A108" s="30">
        <v>6608523072</v>
      </c>
      <c r="B108" s="30" t="s">
        <v>339</v>
      </c>
      <c r="C108" s="74" t="s">
        <v>555</v>
      </c>
      <c r="D108" s="74" t="s">
        <v>556</v>
      </c>
      <c r="E108" s="44" t="s">
        <v>359</v>
      </c>
      <c r="F108" s="74" t="s">
        <v>557</v>
      </c>
      <c r="G108" s="43"/>
      <c r="H108" s="43"/>
      <c r="I108" s="43"/>
      <c r="J108" s="43">
        <v>6</v>
      </c>
      <c r="K108" s="43" t="s">
        <v>496</v>
      </c>
      <c r="L108" s="50" t="s">
        <v>558</v>
      </c>
      <c r="M108" s="50"/>
      <c r="N108" s="8" t="s">
        <v>449</v>
      </c>
      <c r="O108" s="46" t="str">
        <f>IFERROR(VLOOKUP($C108,二次物料明细!$A:$N,COLUMN(二次物料明细!H$1),),0)</f>
        <v>董培菊</v>
      </c>
      <c r="P108" s="47">
        <f>IFERROR(VLOOKUP($C108,二次物料明细!$A:$N,COLUMN(二次物料明细!I$1),),0)</f>
        <v>0.0686</v>
      </c>
      <c r="Q108" s="47">
        <f>IFERROR(VLOOKUP($C108,二次物料明细!$A:$N,COLUMN(二次物料明细!J$1),),0)</f>
        <v>0</v>
      </c>
      <c r="R108" s="47">
        <f>IFERROR(VLOOKUP($C108,二次物料明细!$A:$N,COLUMN(二次物料明细!K$1),),0)</f>
        <v>0</v>
      </c>
      <c r="S108" s="47">
        <f>IFERROR(VLOOKUP($C108,二次物料明细!$A:$N,COLUMN(二次物料明细!L$1),),0)</f>
        <v>0</v>
      </c>
      <c r="T108" s="47">
        <f t="shared" si="4"/>
        <v>0</v>
      </c>
      <c r="U108" s="47">
        <f t="shared" si="5"/>
        <v>0.4116</v>
      </c>
      <c r="V108" s="46" t="str">
        <f>IFERROR(VLOOKUP($C108,二次物料明细!$A:$N,COLUMN(二次物料明细!M$1),),0)</f>
        <v>CNY</v>
      </c>
      <c r="W108" s="46" t="str">
        <f>IFERROR(VLOOKUP($C108,二次物料明细!$A:$N,COLUMN(二次物料明细!N$1),),0)</f>
        <v>系统价</v>
      </c>
      <c r="X108" s="34"/>
    </row>
    <row r="109" spans="1:24">
      <c r="A109" s="30">
        <v>6608523072</v>
      </c>
      <c r="B109" s="30" t="s">
        <v>339</v>
      </c>
      <c r="C109" s="43" t="s">
        <v>559</v>
      </c>
      <c r="D109" s="43" t="s">
        <v>560</v>
      </c>
      <c r="E109" s="43" t="s">
        <v>359</v>
      </c>
      <c r="F109" s="43" t="s">
        <v>561</v>
      </c>
      <c r="G109" s="43"/>
      <c r="H109" s="43"/>
      <c r="I109" s="43"/>
      <c r="J109" s="43">
        <v>3</v>
      </c>
      <c r="K109" s="43" t="s">
        <v>496</v>
      </c>
      <c r="L109" s="43" t="s">
        <v>562</v>
      </c>
      <c r="M109" s="50"/>
      <c r="N109" s="8" t="s">
        <v>449</v>
      </c>
      <c r="O109" s="46" t="str">
        <f>IFERROR(VLOOKUP($C109,二次物料明细!$A:$N,COLUMN(二次物料明细!H$1),),0)</f>
        <v>董培菊</v>
      </c>
      <c r="P109" s="47">
        <f>IFERROR(VLOOKUP($C109,二次物料明细!$A:$N,COLUMN(二次物料明细!I$1),),0)</f>
        <v>0.209</v>
      </c>
      <c r="Q109" s="47">
        <f>IFERROR(VLOOKUP($C109,二次物料明细!$A:$N,COLUMN(二次物料明细!J$1),),0)</f>
        <v>0</v>
      </c>
      <c r="R109" s="47">
        <f>IFERROR(VLOOKUP($C109,二次物料明细!$A:$N,COLUMN(二次物料明细!K$1),),0)</f>
        <v>0</v>
      </c>
      <c r="S109" s="47">
        <f>IFERROR(VLOOKUP($C109,二次物料明细!$A:$N,COLUMN(二次物料明细!L$1),),0)</f>
        <v>0</v>
      </c>
      <c r="T109" s="47">
        <f t="shared" si="4"/>
        <v>0</v>
      </c>
      <c r="U109" s="47">
        <f t="shared" si="5"/>
        <v>0.627</v>
      </c>
      <c r="V109" s="46" t="str">
        <f>IFERROR(VLOOKUP($C109,二次物料明细!$A:$N,COLUMN(二次物料明细!M$1),),0)</f>
        <v>CNY</v>
      </c>
      <c r="W109" s="46" t="str">
        <f>IFERROR(VLOOKUP($C109,二次物料明细!$A:$N,COLUMN(二次物料明细!N$1),),0)</f>
        <v>系统价</v>
      </c>
      <c r="X109" s="34"/>
    </row>
    <row r="110" spans="1:24">
      <c r="A110" s="30">
        <v>6608523072</v>
      </c>
      <c r="B110" s="30" t="s">
        <v>339</v>
      </c>
      <c r="C110" s="43" t="s">
        <v>672</v>
      </c>
      <c r="D110" s="43" t="s">
        <v>572</v>
      </c>
      <c r="E110" s="43" t="s">
        <v>359</v>
      </c>
      <c r="F110" s="43" t="s">
        <v>673</v>
      </c>
      <c r="G110" s="43"/>
      <c r="H110" s="43"/>
      <c r="I110" s="43"/>
      <c r="J110" s="43">
        <v>1</v>
      </c>
      <c r="K110" s="43" t="s">
        <v>360</v>
      </c>
      <c r="L110" s="43" t="s">
        <v>574</v>
      </c>
      <c r="M110" s="50"/>
      <c r="N110" s="8" t="s">
        <v>570</v>
      </c>
      <c r="O110" s="46" t="str">
        <f>IFERROR(VLOOKUP($C110,二次物料明细!$A:$N,COLUMN(二次物料明细!H$1),),0)</f>
        <v>王永东</v>
      </c>
      <c r="P110" s="47">
        <f>IFERROR(VLOOKUP($C110,二次物料明细!$A:$N,COLUMN(二次物料明细!I$1),),0)</f>
        <v>7.92</v>
      </c>
      <c r="Q110" s="47">
        <f>IFERROR(VLOOKUP($C110,二次物料明细!$A:$N,COLUMN(二次物料明细!J$1),),0)</f>
        <v>0</v>
      </c>
      <c r="R110" s="47">
        <f>IFERROR(VLOOKUP($C110,二次物料明细!$A:$N,COLUMN(二次物料明细!K$1),),0)</f>
        <v>0</v>
      </c>
      <c r="S110" s="47">
        <f>IFERROR(VLOOKUP($C110,二次物料明细!$A:$N,COLUMN(二次物料明细!L$1),),0)</f>
        <v>0</v>
      </c>
      <c r="T110" s="47">
        <f t="shared" si="4"/>
        <v>0</v>
      </c>
      <c r="U110" s="47">
        <f t="shared" si="5"/>
        <v>7.92</v>
      </c>
      <c r="V110" s="46" t="str">
        <f>IFERROR(VLOOKUP($C110,二次物料明细!$A:$N,COLUMN(二次物料明细!M$1),),0)</f>
        <v>CNY</v>
      </c>
      <c r="W110" s="46" t="str">
        <f>IFERROR(VLOOKUP($C110,二次物料明细!$A:$N,COLUMN(二次物料明细!N$1),),0)</f>
        <v>系统价</v>
      </c>
    </row>
    <row r="111" spans="1:24">
      <c r="A111" s="30">
        <v>6608523072</v>
      </c>
      <c r="B111" s="30" t="s">
        <v>339</v>
      </c>
      <c r="C111" s="43" t="s">
        <v>674</v>
      </c>
      <c r="D111" s="43" t="s">
        <v>675</v>
      </c>
      <c r="E111" s="43" t="s">
        <v>359</v>
      </c>
      <c r="F111" s="43" t="s">
        <v>676</v>
      </c>
      <c r="G111" s="43"/>
      <c r="H111" s="43"/>
      <c r="I111" s="43"/>
      <c r="J111" s="43">
        <v>4</v>
      </c>
      <c r="K111" s="43" t="s">
        <v>360</v>
      </c>
      <c r="L111" s="43" t="s">
        <v>592</v>
      </c>
      <c r="M111" s="50"/>
      <c r="N111" s="8" t="s">
        <v>449</v>
      </c>
      <c r="O111" s="46" t="str">
        <f>IFERROR(VLOOKUP($C111,二次物料明细!$A:$N,COLUMN(二次物料明细!H$1),),0)</f>
        <v>邹娇</v>
      </c>
      <c r="P111" s="47">
        <f>IFERROR(VLOOKUP($C111,二次物料明细!$A:$N,COLUMN(二次物料明细!I$1),),0)</f>
        <v>0.1</v>
      </c>
      <c r="Q111" s="47">
        <f>IFERROR(VLOOKUP($C111,二次物料明细!$A:$N,COLUMN(二次物料明细!J$1),),0)</f>
        <v>0</v>
      </c>
      <c r="R111" s="47">
        <f>IFERROR(VLOOKUP($C111,二次物料明细!$A:$N,COLUMN(二次物料明细!K$1),),0)</f>
        <v>0</v>
      </c>
      <c r="S111" s="47">
        <f>IFERROR(VLOOKUP($C111,二次物料明细!$A:$N,COLUMN(二次物料明细!L$1),),0)</f>
        <v>0</v>
      </c>
      <c r="T111" s="47">
        <f t="shared" si="4"/>
        <v>0</v>
      </c>
      <c r="U111" s="47">
        <f t="shared" si="5"/>
        <v>0.4</v>
      </c>
      <c r="V111" s="46" t="str">
        <f>IFERROR(VLOOKUP($C111,二次物料明细!$A:$N,COLUMN(二次物料明细!M$1),),0)</f>
        <v>CNY</v>
      </c>
      <c r="W111" s="46" t="str">
        <f>IFERROR(VLOOKUP($C111,二次物料明细!$A:$N,COLUMN(二次物料明细!N$1),),0)</f>
        <v>系统价</v>
      </c>
    </row>
    <row r="112" spans="1:24">
      <c r="A112" s="30">
        <v>6608523072</v>
      </c>
      <c r="B112" s="30" t="s">
        <v>339</v>
      </c>
      <c r="C112" s="43" t="s">
        <v>612</v>
      </c>
      <c r="D112" s="43" t="s">
        <v>613</v>
      </c>
      <c r="E112" s="43" t="s">
        <v>359</v>
      </c>
      <c r="F112" s="84">
        <v>70002052</v>
      </c>
      <c r="G112" s="43"/>
      <c r="H112" s="43"/>
      <c r="I112" s="43"/>
      <c r="J112" s="43">
        <v>1</v>
      </c>
      <c r="K112" s="43" t="s">
        <v>360</v>
      </c>
      <c r="L112" s="43" t="s">
        <v>614</v>
      </c>
      <c r="M112" s="50"/>
      <c r="N112" s="8" t="s">
        <v>449</v>
      </c>
      <c r="O112" s="46">
        <f>IFERROR(VLOOKUP($C112,二次物料明细!$A:$N,COLUMN(二次物料明细!H$1),),0)</f>
        <v>0</v>
      </c>
      <c r="P112" s="47">
        <f>IFERROR(VLOOKUP($C112,二次物料明细!$A:$N,COLUMN(二次物料明细!I$1),),0)</f>
        <v>0.055</v>
      </c>
      <c r="Q112" s="47">
        <f>IFERROR(VLOOKUP($C112,二次物料明细!$A:$N,COLUMN(二次物料明细!J$1),),0)</f>
        <v>0</v>
      </c>
      <c r="R112" s="47">
        <f>IFERROR(VLOOKUP($C112,二次物料明细!$A:$N,COLUMN(二次物料明细!K$1),),0)</f>
        <v>0</v>
      </c>
      <c r="S112" s="47">
        <f>IFERROR(VLOOKUP($C112,二次物料明细!$A:$N,COLUMN(二次物料明细!L$1),),0)</f>
        <v>0</v>
      </c>
      <c r="T112" s="47">
        <f t="shared" si="4"/>
        <v>0</v>
      </c>
      <c r="U112" s="47">
        <f t="shared" si="5"/>
        <v>0.055</v>
      </c>
      <c r="V112" s="46" t="str">
        <f>IFERROR(VLOOKUP($C112,二次物料明细!$A:$N,COLUMN(二次物料明细!M$1),),0)</f>
        <v>CNY</v>
      </c>
      <c r="W112" s="46" t="str">
        <f>IFERROR(VLOOKUP($C112,二次物料明细!$A:$N,COLUMN(二次物料明细!N$1),),0)</f>
        <v>系统价</v>
      </c>
      <c r="X112" s="34"/>
    </row>
  </sheetData>
  <autoFilter xmlns:etc="http://www.wps.cn/officeDocument/2017/etCustomData" ref="A1:X112" etc:filterBottomFollowUsedRange="0">
    <extLst/>
  </autoFilter>
  <mergeCells count="8">
    <mergeCell ref="M2:M16"/>
    <mergeCell ref="M17:M22"/>
    <mergeCell ref="M24:M28"/>
    <mergeCell ref="M30:M33"/>
    <mergeCell ref="M34:M36"/>
    <mergeCell ref="M37:M40"/>
    <mergeCell ref="M88:M95"/>
    <mergeCell ref="M96:M105"/>
  </mergeCells>
  <conditionalFormatting sqref="C65">
    <cfRule type="duplicateValues" dxfId="0" priority="2"/>
  </conditionalFormatting>
  <conditionalFormatting sqref="F65">
    <cfRule type="duplicateValues" dxfId="0" priority="3"/>
  </conditionalFormatting>
  <conditionalFormatting sqref="C68">
    <cfRule type="duplicateValues" dxfId="0" priority="6"/>
  </conditionalFormatting>
  <conditionalFormatting sqref="F68">
    <cfRule type="duplicateValues" dxfId="0" priority="5"/>
  </conditionalFormatting>
  <conditionalFormatting sqref="C72">
    <cfRule type="duplicateValues" dxfId="0" priority="8"/>
    <cfRule type="duplicateValues" dxfId="0" priority="9"/>
  </conditionalFormatting>
  <conditionalFormatting sqref="C108">
    <cfRule type="duplicateValues" dxfId="0" priority="1"/>
  </conditionalFormatting>
  <conditionalFormatting sqref="C73:C85">
    <cfRule type="duplicateValues" dxfId="0" priority="10"/>
  </conditionalFormatting>
  <conditionalFormatting sqref="F66:F67">
    <cfRule type="duplicateValues" dxfId="0" priority="7"/>
  </conditionalFormatting>
  <conditionalFormatting sqref="C17:C25 C30:C31 C37:C42 D43:D45 C46:C64 C66:C85">
    <cfRule type="duplicateValues" dxfId="0" priority="4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7"/>
  <sheetViews>
    <sheetView zoomScale="70" zoomScaleNormal="70" workbookViewId="0">
      <pane ySplit="2" topLeftCell="A23" activePane="bottomLeft" state="frozen"/>
      <selection/>
      <selection pane="bottomLeft" activeCell="G17" sqref="G17"/>
    </sheetView>
  </sheetViews>
  <sheetFormatPr defaultColWidth="9" defaultRowHeight="15.6"/>
  <cols>
    <col min="1" max="1" width="34" style="2" customWidth="1"/>
    <col min="2" max="2" width="22.3333333333333" style="2" customWidth="1"/>
    <col min="3" max="4" width="12" style="2" customWidth="1"/>
    <col min="5" max="5" width="23.7777777777778" style="2" customWidth="1"/>
    <col min="6" max="6" width="13.8888888888889" style="2" customWidth="1"/>
    <col min="7" max="7" width="12.3333333333333" style="2" customWidth="1"/>
    <col min="8" max="16384" width="9" style="27"/>
  </cols>
  <sheetData>
    <row r="1" spans="1:17">
      <c r="A1" s="28" t="s">
        <v>449</v>
      </c>
      <c r="B1" s="28" t="s">
        <v>677</v>
      </c>
      <c r="C1" s="28"/>
      <c r="D1" s="28"/>
      <c r="E1" s="28"/>
      <c r="F1" s="28"/>
      <c r="G1" s="28"/>
    </row>
    <row r="2" spans="1:17">
      <c r="A2" s="29" t="s">
        <v>678</v>
      </c>
      <c r="B2" s="29" t="s">
        <v>679</v>
      </c>
      <c r="C2" s="29" t="s">
        <v>86</v>
      </c>
      <c r="D2" s="29" t="s">
        <v>169</v>
      </c>
      <c r="E2" s="29" t="s">
        <v>680</v>
      </c>
      <c r="F2" s="29" t="s">
        <v>309</v>
      </c>
      <c r="G2" s="28" t="s">
        <v>3</v>
      </c>
      <c r="H2" s="27" t="s">
        <v>351</v>
      </c>
      <c r="I2" s="27" t="s">
        <v>231</v>
      </c>
      <c r="J2" s="27" t="s">
        <v>88</v>
      </c>
      <c r="K2" s="27" t="s">
        <v>87</v>
      </c>
      <c r="L2" s="27" t="s">
        <v>352</v>
      </c>
      <c r="M2" s="27" t="s">
        <v>355</v>
      </c>
      <c r="N2" s="27" t="s">
        <v>356</v>
      </c>
      <c r="O2" s="27" t="s">
        <v>681</v>
      </c>
      <c r="P2" s="27" t="s">
        <v>682</v>
      </c>
      <c r="Q2" s="27" t="s">
        <v>683</v>
      </c>
    </row>
    <row r="3" s="27" customFormat="1" spans="1:17">
      <c r="A3" s="30" t="s">
        <v>357</v>
      </c>
      <c r="B3" s="30" t="s">
        <v>358</v>
      </c>
      <c r="C3" s="30">
        <v>1</v>
      </c>
      <c r="D3" s="30" t="s">
        <v>360</v>
      </c>
      <c r="E3" s="30" t="s">
        <v>361</v>
      </c>
      <c r="F3" s="30" t="s">
        <v>684</v>
      </c>
      <c r="G3" s="30" t="s">
        <v>363</v>
      </c>
      <c r="H3" s="27" t="s">
        <v>685</v>
      </c>
      <c r="I3" s="27">
        <v>170</v>
      </c>
      <c r="N3" s="27" t="s">
        <v>686</v>
      </c>
    </row>
    <row r="4" s="27" customFormat="1" spans="1:17">
      <c r="A4" s="30" t="s">
        <v>364</v>
      </c>
      <c r="B4" s="30" t="s">
        <v>365</v>
      </c>
      <c r="C4" s="30">
        <v>1</v>
      </c>
      <c r="D4" s="30" t="s">
        <v>360</v>
      </c>
      <c r="E4" s="30" t="s">
        <v>361</v>
      </c>
      <c r="F4" s="30" t="s">
        <v>366</v>
      </c>
      <c r="G4" s="30" t="s">
        <v>363</v>
      </c>
      <c r="H4" s="27" t="s">
        <v>685</v>
      </c>
      <c r="I4" s="27"/>
      <c r="M4" s="27" t="s">
        <v>687</v>
      </c>
      <c r="N4" s="27" t="s">
        <v>688</v>
      </c>
    </row>
    <row r="5" s="27" customFormat="1" spans="1:17">
      <c r="A5" s="30" t="s">
        <v>367</v>
      </c>
      <c r="B5" s="30" t="s">
        <v>368</v>
      </c>
      <c r="C5" s="30">
        <v>2</v>
      </c>
      <c r="D5" s="30" t="s">
        <v>360</v>
      </c>
      <c r="E5" s="30" t="s">
        <v>361</v>
      </c>
      <c r="F5" s="30" t="s">
        <v>369</v>
      </c>
      <c r="G5" s="30" t="s">
        <v>363</v>
      </c>
      <c r="H5" s="27" t="s">
        <v>685</v>
      </c>
      <c r="N5" s="27" t="s">
        <v>688</v>
      </c>
    </row>
    <row r="6" s="27" customFormat="1" spans="1:17">
      <c r="A6" s="30" t="s">
        <v>370</v>
      </c>
      <c r="B6" s="30" t="s">
        <v>371</v>
      </c>
      <c r="C6" s="30">
        <v>2</v>
      </c>
      <c r="D6" s="30" t="s">
        <v>360</v>
      </c>
      <c r="E6" s="30" t="s">
        <v>361</v>
      </c>
      <c r="F6" s="30" t="s">
        <v>372</v>
      </c>
      <c r="G6" s="30" t="s">
        <v>363</v>
      </c>
      <c r="H6" s="27" t="s">
        <v>685</v>
      </c>
      <c r="N6" s="27" t="s">
        <v>688</v>
      </c>
    </row>
    <row r="7" s="27" customFormat="1" spans="1:17">
      <c r="A7" s="30" t="s">
        <v>373</v>
      </c>
      <c r="B7" s="30" t="s">
        <v>374</v>
      </c>
      <c r="C7" s="30">
        <v>2</v>
      </c>
      <c r="D7" s="30" t="s">
        <v>360</v>
      </c>
      <c r="E7" s="30" t="s">
        <v>361</v>
      </c>
      <c r="F7" s="30" t="s">
        <v>375</v>
      </c>
      <c r="G7" s="30" t="s">
        <v>363</v>
      </c>
      <c r="H7" s="27" t="s">
        <v>685</v>
      </c>
      <c r="N7" s="27" t="s">
        <v>688</v>
      </c>
    </row>
    <row r="8" s="27" customFormat="1" spans="1:17">
      <c r="A8" s="30" t="s">
        <v>376</v>
      </c>
      <c r="B8" s="30" t="s">
        <v>377</v>
      </c>
      <c r="C8" s="30">
        <v>1</v>
      </c>
      <c r="D8" s="30" t="s">
        <v>360</v>
      </c>
      <c r="E8" s="30" t="s">
        <v>361</v>
      </c>
      <c r="F8" s="30" t="s">
        <v>378</v>
      </c>
      <c r="G8" s="30" t="s">
        <v>363</v>
      </c>
      <c r="H8" s="27" t="s">
        <v>685</v>
      </c>
      <c r="I8" s="27"/>
      <c r="M8" s="27" t="s">
        <v>687</v>
      </c>
      <c r="N8" s="27" t="s">
        <v>688</v>
      </c>
    </row>
    <row r="9" s="27" customFormat="1" spans="1:17">
      <c r="A9" s="30" t="s">
        <v>379</v>
      </c>
      <c r="B9" s="30" t="s">
        <v>380</v>
      </c>
      <c r="C9" s="30">
        <v>1</v>
      </c>
      <c r="D9" s="30" t="s">
        <v>360</v>
      </c>
      <c r="E9" s="30" t="s">
        <v>361</v>
      </c>
      <c r="F9" s="30" t="s">
        <v>381</v>
      </c>
      <c r="G9" s="30" t="s">
        <v>363</v>
      </c>
      <c r="H9" s="27" t="s">
        <v>685</v>
      </c>
      <c r="I9" s="27"/>
      <c r="M9" s="27" t="s">
        <v>687</v>
      </c>
      <c r="N9" s="27" t="s">
        <v>688</v>
      </c>
    </row>
    <row r="10" s="27" customFormat="1" spans="1:17">
      <c r="A10" s="30" t="s">
        <v>382</v>
      </c>
      <c r="B10" s="30" t="s">
        <v>383</v>
      </c>
      <c r="C10" s="30">
        <v>1</v>
      </c>
      <c r="D10" s="30" t="s">
        <v>360</v>
      </c>
      <c r="E10" s="30" t="s">
        <v>361</v>
      </c>
      <c r="F10" s="30" t="s">
        <v>384</v>
      </c>
      <c r="G10" s="30" t="s">
        <v>363</v>
      </c>
      <c r="H10" s="27" t="s">
        <v>685</v>
      </c>
      <c r="I10" s="27"/>
      <c r="M10" s="27" t="s">
        <v>687</v>
      </c>
      <c r="N10" s="27" t="s">
        <v>688</v>
      </c>
    </row>
    <row r="11" s="27" customFormat="1" spans="1:17">
      <c r="A11" s="30" t="s">
        <v>385</v>
      </c>
      <c r="B11" s="30" t="s">
        <v>386</v>
      </c>
      <c r="C11" s="30">
        <v>1</v>
      </c>
      <c r="D11" s="30" t="s">
        <v>360</v>
      </c>
      <c r="E11" s="30" t="s">
        <v>361</v>
      </c>
      <c r="F11" s="30" t="s">
        <v>387</v>
      </c>
      <c r="G11" s="30" t="s">
        <v>363</v>
      </c>
      <c r="H11" s="27" t="s">
        <v>685</v>
      </c>
      <c r="I11" s="27"/>
      <c r="M11" s="27" t="s">
        <v>687</v>
      </c>
      <c r="N11" s="27" t="s">
        <v>688</v>
      </c>
    </row>
    <row r="12" s="27" customFormat="1" spans="1:17">
      <c r="A12" s="30" t="s">
        <v>388</v>
      </c>
      <c r="B12" s="30" t="s">
        <v>389</v>
      </c>
      <c r="C12" s="30">
        <v>1</v>
      </c>
      <c r="D12" s="30" t="s">
        <v>360</v>
      </c>
      <c r="E12" s="30" t="s">
        <v>361</v>
      </c>
      <c r="F12" s="30" t="s">
        <v>390</v>
      </c>
      <c r="G12" s="30" t="s">
        <v>363</v>
      </c>
      <c r="H12" s="27" t="s">
        <v>685</v>
      </c>
      <c r="N12" s="27" t="s">
        <v>688</v>
      </c>
    </row>
    <row r="13" s="27" customFormat="1" spans="1:17">
      <c r="A13" s="30" t="s">
        <v>391</v>
      </c>
      <c r="B13" s="30" t="s">
        <v>392</v>
      </c>
      <c r="C13" s="30">
        <v>1</v>
      </c>
      <c r="D13" s="30" t="s">
        <v>360</v>
      </c>
      <c r="E13" s="30" t="s">
        <v>361</v>
      </c>
      <c r="F13" s="30" t="s">
        <v>393</v>
      </c>
      <c r="G13" s="30" t="s">
        <v>363</v>
      </c>
      <c r="H13" s="27" t="s">
        <v>685</v>
      </c>
      <c r="N13" s="27" t="s">
        <v>688</v>
      </c>
    </row>
    <row r="14" s="27" customFormat="1" spans="1:17">
      <c r="A14" s="30" t="s">
        <v>394</v>
      </c>
      <c r="B14" s="30" t="s">
        <v>395</v>
      </c>
      <c r="C14" s="30">
        <v>3</v>
      </c>
      <c r="D14" s="30" t="s">
        <v>360</v>
      </c>
      <c r="E14" s="30" t="s">
        <v>361</v>
      </c>
      <c r="F14" s="30" t="s">
        <v>396</v>
      </c>
      <c r="G14" s="30" t="s">
        <v>363</v>
      </c>
      <c r="H14" s="27" t="s">
        <v>685</v>
      </c>
      <c r="I14" s="27"/>
      <c r="M14" s="27" t="s">
        <v>687</v>
      </c>
      <c r="N14" s="27" t="s">
        <v>688</v>
      </c>
    </row>
    <row r="15" s="27" customFormat="1" spans="1:17">
      <c r="A15" s="30" t="s">
        <v>397</v>
      </c>
      <c r="B15" s="30" t="s">
        <v>398</v>
      </c>
      <c r="C15" s="30">
        <v>3</v>
      </c>
      <c r="D15" s="30" t="s">
        <v>360</v>
      </c>
      <c r="E15" s="30" t="s">
        <v>361</v>
      </c>
      <c r="F15" s="30" t="s">
        <v>399</v>
      </c>
      <c r="G15" s="30" t="s">
        <v>363</v>
      </c>
      <c r="H15" s="27" t="s">
        <v>685</v>
      </c>
      <c r="I15" s="27"/>
      <c r="M15" s="27" t="s">
        <v>687</v>
      </c>
      <c r="N15" s="27" t="s">
        <v>688</v>
      </c>
    </row>
    <row r="16" s="27" customFormat="1" spans="1:17">
      <c r="A16" s="30" t="s">
        <v>400</v>
      </c>
      <c r="B16" s="30" t="s">
        <v>401</v>
      </c>
      <c r="C16" s="30">
        <v>1</v>
      </c>
      <c r="D16" s="30" t="s">
        <v>360</v>
      </c>
      <c r="E16" s="30" t="s">
        <v>361</v>
      </c>
      <c r="F16" s="30" t="s">
        <v>684</v>
      </c>
      <c r="G16" s="30" t="s">
        <v>363</v>
      </c>
      <c r="H16" s="27" t="s">
        <v>685</v>
      </c>
      <c r="N16" s="27" t="s">
        <v>688</v>
      </c>
    </row>
    <row r="17" s="27" customFormat="1" spans="1:14">
      <c r="A17" s="30" t="s">
        <v>402</v>
      </c>
      <c r="B17" s="30" t="s">
        <v>403</v>
      </c>
      <c r="C17" s="30">
        <v>2</v>
      </c>
      <c r="D17" s="30" t="s">
        <v>360</v>
      </c>
      <c r="E17" s="30" t="s">
        <v>361</v>
      </c>
      <c r="F17" s="30" t="s">
        <v>404</v>
      </c>
      <c r="G17" s="30" t="s">
        <v>363</v>
      </c>
      <c r="H17" s="27" t="s">
        <v>685</v>
      </c>
      <c r="N17" s="27" t="s">
        <v>688</v>
      </c>
    </row>
    <row r="18" s="27" customFormat="1" spans="1:14">
      <c r="A18" s="30" t="s">
        <v>405</v>
      </c>
      <c r="B18" s="30" t="s">
        <v>406</v>
      </c>
      <c r="C18" s="30">
        <v>1</v>
      </c>
      <c r="D18" s="30" t="s">
        <v>360</v>
      </c>
      <c r="E18" s="30" t="s">
        <v>408</v>
      </c>
      <c r="F18" s="30" t="s">
        <v>407</v>
      </c>
      <c r="G18" s="30" t="s">
        <v>363</v>
      </c>
      <c r="H18" s="27" t="s">
        <v>689</v>
      </c>
      <c r="I18" s="27">
        <v>24</v>
      </c>
      <c r="N18" s="27" t="s">
        <v>690</v>
      </c>
    </row>
    <row r="19" s="27" customFormat="1" spans="1:14">
      <c r="A19" s="30" t="s">
        <v>410</v>
      </c>
      <c r="B19" s="30" t="s">
        <v>411</v>
      </c>
      <c r="C19" s="30">
        <v>4</v>
      </c>
      <c r="D19" s="30" t="s">
        <v>360</v>
      </c>
      <c r="E19" s="30" t="s">
        <v>408</v>
      </c>
      <c r="F19" s="30" t="s">
        <v>412</v>
      </c>
      <c r="G19" s="30" t="s">
        <v>363</v>
      </c>
      <c r="H19" s="27" t="s">
        <v>689</v>
      </c>
      <c r="N19" s="27" t="s">
        <v>688</v>
      </c>
    </row>
    <row r="20" s="27" customFormat="1" spans="1:14">
      <c r="A20" s="30" t="s">
        <v>413</v>
      </c>
      <c r="B20" s="30" t="s">
        <v>414</v>
      </c>
      <c r="C20" s="30">
        <v>2</v>
      </c>
      <c r="D20" s="30" t="s">
        <v>360</v>
      </c>
      <c r="E20" s="30" t="s">
        <v>408</v>
      </c>
      <c r="F20" s="30" t="s">
        <v>415</v>
      </c>
      <c r="G20" s="30" t="s">
        <v>363</v>
      </c>
      <c r="H20" s="27" t="s">
        <v>689</v>
      </c>
      <c r="N20" s="27" t="s">
        <v>688</v>
      </c>
    </row>
    <row r="21" s="27" customFormat="1" spans="1:14">
      <c r="A21" s="30" t="s">
        <v>416</v>
      </c>
      <c r="B21" s="30" t="s">
        <v>417</v>
      </c>
      <c r="C21" s="30">
        <v>2</v>
      </c>
      <c r="D21" s="30" t="s">
        <v>360</v>
      </c>
      <c r="E21" s="30" t="s">
        <v>408</v>
      </c>
      <c r="F21" s="30" t="s">
        <v>418</v>
      </c>
      <c r="G21" s="30" t="s">
        <v>363</v>
      </c>
      <c r="H21" s="27" t="s">
        <v>689</v>
      </c>
      <c r="N21" s="27" t="s">
        <v>688</v>
      </c>
    </row>
    <row r="22" s="27" customFormat="1" spans="1:14">
      <c r="A22" s="30" t="s">
        <v>419</v>
      </c>
      <c r="B22" s="30" t="s">
        <v>420</v>
      </c>
      <c r="C22" s="30">
        <v>2</v>
      </c>
      <c r="D22" s="30" t="s">
        <v>360</v>
      </c>
      <c r="E22" s="30" t="s">
        <v>408</v>
      </c>
      <c r="F22" s="30" t="s">
        <v>421</v>
      </c>
      <c r="G22" s="30" t="s">
        <v>363</v>
      </c>
      <c r="H22" s="27" t="s">
        <v>689</v>
      </c>
      <c r="N22" s="27" t="s">
        <v>688</v>
      </c>
    </row>
    <row r="23" s="27" customFormat="1" spans="1:14">
      <c r="A23" s="30" t="s">
        <v>422</v>
      </c>
      <c r="B23" s="30" t="s">
        <v>423</v>
      </c>
      <c r="C23" s="30">
        <v>2</v>
      </c>
      <c r="D23" s="30" t="s">
        <v>360</v>
      </c>
      <c r="E23" s="30" t="s">
        <v>408</v>
      </c>
      <c r="F23" s="30" t="s">
        <v>424</v>
      </c>
      <c r="G23" s="30" t="s">
        <v>363</v>
      </c>
      <c r="H23" s="27" t="s">
        <v>689</v>
      </c>
      <c r="N23" s="27" t="s">
        <v>688</v>
      </c>
    </row>
    <row r="24" s="27" customFormat="1" spans="1:14">
      <c r="A24" s="30" t="s">
        <v>425</v>
      </c>
      <c r="B24" s="30" t="s">
        <v>426</v>
      </c>
      <c r="C24" s="30">
        <v>1</v>
      </c>
      <c r="D24" s="30" t="s">
        <v>427</v>
      </c>
      <c r="E24" s="30" t="s">
        <v>408</v>
      </c>
      <c r="F24" s="30" t="s">
        <v>684</v>
      </c>
      <c r="G24" s="30" t="s">
        <v>363</v>
      </c>
      <c r="H24" s="27" t="s">
        <v>689</v>
      </c>
      <c r="I24" s="27">
        <v>10</v>
      </c>
      <c r="N24" s="27" t="s">
        <v>690</v>
      </c>
    </row>
    <row r="25" s="27" customFormat="1" spans="1:14">
      <c r="A25" s="30" t="s">
        <v>429</v>
      </c>
      <c r="B25" s="30" t="s">
        <v>406</v>
      </c>
      <c r="C25" s="30">
        <v>1</v>
      </c>
      <c r="D25" s="30" t="s">
        <v>360</v>
      </c>
      <c r="E25" s="30" t="s">
        <v>431</v>
      </c>
      <c r="F25" s="30" t="s">
        <v>430</v>
      </c>
      <c r="G25" s="30" t="s">
        <v>363</v>
      </c>
      <c r="H25" s="27" t="s">
        <v>691</v>
      </c>
      <c r="I25" s="27">
        <v>1.5</v>
      </c>
      <c r="M25" s="27" t="s">
        <v>687</v>
      </c>
      <c r="N25" s="27" t="s">
        <v>692</v>
      </c>
    </row>
    <row r="26" s="27" customFormat="1" spans="1:14">
      <c r="A26" s="30" t="s">
        <v>433</v>
      </c>
      <c r="B26" s="30" t="s">
        <v>434</v>
      </c>
      <c r="C26" s="30">
        <v>17</v>
      </c>
      <c r="D26" s="30" t="s">
        <v>360</v>
      </c>
      <c r="E26" s="30" t="s">
        <v>431</v>
      </c>
      <c r="F26" s="30" t="s">
        <v>435</v>
      </c>
      <c r="G26" s="30" t="s">
        <v>363</v>
      </c>
      <c r="H26" s="27" t="s">
        <v>691</v>
      </c>
      <c r="I26" s="27">
        <v>0.06</v>
      </c>
      <c r="M26" s="27" t="s">
        <v>687</v>
      </c>
      <c r="N26" s="27" t="s">
        <v>692</v>
      </c>
    </row>
    <row r="27" s="27" customFormat="1" spans="1:14">
      <c r="A27" s="30" t="s">
        <v>436</v>
      </c>
      <c r="B27" s="30" t="s">
        <v>437</v>
      </c>
      <c r="C27" s="30">
        <v>17</v>
      </c>
      <c r="D27" s="30" t="s">
        <v>360</v>
      </c>
      <c r="E27" s="30" t="s">
        <v>431</v>
      </c>
      <c r="F27" s="30" t="s">
        <v>438</v>
      </c>
      <c r="G27" s="30" t="s">
        <v>363</v>
      </c>
      <c r="H27" s="27" t="s">
        <v>691</v>
      </c>
      <c r="I27" s="27">
        <v>0.055</v>
      </c>
      <c r="M27" s="27" t="s">
        <v>687</v>
      </c>
      <c r="N27" s="27" t="s">
        <v>692</v>
      </c>
    </row>
    <row r="28" s="27" customFormat="1" spans="1:14">
      <c r="A28" s="30" t="s">
        <v>439</v>
      </c>
      <c r="B28" s="30" t="s">
        <v>440</v>
      </c>
      <c r="C28" s="30">
        <v>1</v>
      </c>
      <c r="D28" s="30" t="s">
        <v>360</v>
      </c>
      <c r="E28" s="30" t="s">
        <v>431</v>
      </c>
      <c r="F28" s="30" t="s">
        <v>441</v>
      </c>
      <c r="G28" s="30" t="s">
        <v>363</v>
      </c>
      <c r="H28" s="27" t="s">
        <v>691</v>
      </c>
      <c r="I28" s="27">
        <v>0.045</v>
      </c>
      <c r="M28" s="27" t="s">
        <v>687</v>
      </c>
      <c r="N28" s="27" t="s">
        <v>692</v>
      </c>
    </row>
    <row r="29" s="27" customFormat="1" spans="1:14">
      <c r="A29" s="30" t="s">
        <v>442</v>
      </c>
      <c r="B29" s="30" t="s">
        <v>443</v>
      </c>
      <c r="C29" s="30">
        <v>4</v>
      </c>
      <c r="D29" s="30" t="s">
        <v>360</v>
      </c>
      <c r="E29" s="30" t="s">
        <v>431</v>
      </c>
      <c r="F29" s="30" t="s">
        <v>444</v>
      </c>
      <c r="G29" s="30" t="s">
        <v>363</v>
      </c>
      <c r="H29" s="27" t="s">
        <v>691</v>
      </c>
      <c r="I29" s="27">
        <v>0.182</v>
      </c>
      <c r="M29" s="27" t="s">
        <v>687</v>
      </c>
      <c r="N29" s="27" t="s">
        <v>692</v>
      </c>
    </row>
    <row r="30" s="27" customFormat="1" spans="1:14">
      <c r="A30" s="30" t="s">
        <v>445</v>
      </c>
      <c r="B30" s="30" t="s">
        <v>446</v>
      </c>
      <c r="C30" s="30">
        <v>1</v>
      </c>
      <c r="D30" s="30" t="s">
        <v>360</v>
      </c>
      <c r="E30" s="30" t="s">
        <v>448</v>
      </c>
      <c r="F30" s="30" t="s">
        <v>447</v>
      </c>
      <c r="G30" s="30" t="s">
        <v>449</v>
      </c>
      <c r="H30" s="27" t="s">
        <v>693</v>
      </c>
      <c r="I30" s="27">
        <v>0.1</v>
      </c>
      <c r="M30" s="27" t="s">
        <v>687</v>
      </c>
      <c r="N30" s="27" t="s">
        <v>692</v>
      </c>
    </row>
    <row r="31" s="27" customFormat="1" spans="1:14">
      <c r="A31" s="30" t="s">
        <v>450</v>
      </c>
      <c r="B31" s="30" t="s">
        <v>451</v>
      </c>
      <c r="C31" s="30">
        <v>1</v>
      </c>
      <c r="D31" s="30" t="s">
        <v>360</v>
      </c>
      <c r="E31" s="30" t="s">
        <v>361</v>
      </c>
      <c r="F31" s="30" t="s">
        <v>452</v>
      </c>
      <c r="G31" s="30" t="s">
        <v>363</v>
      </c>
      <c r="H31" s="27" t="s">
        <v>685</v>
      </c>
      <c r="I31" s="27">
        <v>3.3</v>
      </c>
      <c r="M31" s="27" t="s">
        <v>687</v>
      </c>
      <c r="N31" s="27" t="s">
        <v>692</v>
      </c>
    </row>
    <row r="32" s="27" customFormat="1" spans="1:14">
      <c r="A32" s="30" t="s">
        <v>454</v>
      </c>
      <c r="B32" s="30" t="s">
        <v>455</v>
      </c>
      <c r="C32" s="30">
        <v>9</v>
      </c>
      <c r="D32" s="30" t="s">
        <v>360</v>
      </c>
      <c r="E32" s="30" t="s">
        <v>361</v>
      </c>
      <c r="F32" s="30" t="s">
        <v>456</v>
      </c>
      <c r="G32" s="30" t="s">
        <v>363</v>
      </c>
      <c r="H32" s="27" t="s">
        <v>685</v>
      </c>
      <c r="I32" s="27">
        <v>0.15</v>
      </c>
      <c r="M32" s="27" t="s">
        <v>687</v>
      </c>
      <c r="N32" s="27" t="s">
        <v>692</v>
      </c>
    </row>
    <row r="33" s="27" customFormat="1" spans="1:17">
      <c r="A33" s="30" t="s">
        <v>457</v>
      </c>
      <c r="B33" s="30" t="s">
        <v>458</v>
      </c>
      <c r="C33" s="30">
        <v>15</v>
      </c>
      <c r="D33" s="30" t="s">
        <v>360</v>
      </c>
      <c r="E33" s="30" t="s">
        <v>361</v>
      </c>
      <c r="F33" s="30" t="s">
        <v>459</v>
      </c>
      <c r="G33" s="30" t="s">
        <v>363</v>
      </c>
      <c r="H33" s="27" t="s">
        <v>685</v>
      </c>
      <c r="I33" s="27">
        <v>0.085</v>
      </c>
      <c r="M33" s="27" t="s">
        <v>687</v>
      </c>
      <c r="N33" s="27" t="s">
        <v>692</v>
      </c>
    </row>
    <row r="34" s="27" customFormat="1" spans="1:17">
      <c r="A34" s="30" t="s">
        <v>460</v>
      </c>
      <c r="B34" s="30" t="s">
        <v>458</v>
      </c>
      <c r="C34" s="30">
        <v>1</v>
      </c>
      <c r="D34" s="30" t="s">
        <v>360</v>
      </c>
      <c r="E34" s="30" t="s">
        <v>361</v>
      </c>
      <c r="F34" s="30" t="s">
        <v>461</v>
      </c>
      <c r="G34" s="30" t="s">
        <v>363</v>
      </c>
      <c r="H34" s="27" t="s">
        <v>685</v>
      </c>
      <c r="I34" s="27">
        <v>0.1</v>
      </c>
      <c r="M34" s="27" t="s">
        <v>687</v>
      </c>
      <c r="N34" s="27" t="s">
        <v>692</v>
      </c>
    </row>
    <row r="35" s="27" customFormat="1" spans="1:17">
      <c r="A35" s="30" t="s">
        <v>462</v>
      </c>
      <c r="B35" s="30" t="s">
        <v>451</v>
      </c>
      <c r="C35" s="30">
        <v>1</v>
      </c>
      <c r="D35" s="30" t="s">
        <v>360</v>
      </c>
      <c r="E35" s="30" t="s">
        <v>361</v>
      </c>
      <c r="F35" s="30" t="s">
        <v>463</v>
      </c>
      <c r="G35" s="30" t="s">
        <v>363</v>
      </c>
      <c r="H35" s="27" t="s">
        <v>685</v>
      </c>
      <c r="I35" s="27">
        <v>1.39</v>
      </c>
      <c r="M35" s="27" t="s">
        <v>687</v>
      </c>
      <c r="N35" s="27" t="s">
        <v>692</v>
      </c>
    </row>
    <row r="36" s="27" customFormat="1" spans="1:17">
      <c r="A36" s="30" t="s">
        <v>465</v>
      </c>
      <c r="B36" s="30" t="s">
        <v>455</v>
      </c>
      <c r="C36" s="30">
        <v>6</v>
      </c>
      <c r="D36" s="30" t="s">
        <v>360</v>
      </c>
      <c r="E36" s="30" t="s">
        <v>431</v>
      </c>
      <c r="F36" s="30" t="s">
        <v>466</v>
      </c>
      <c r="G36" s="30" t="s">
        <v>363</v>
      </c>
      <c r="H36" s="27" t="s">
        <v>691</v>
      </c>
      <c r="I36" s="27">
        <v>0.11915</v>
      </c>
      <c r="M36" s="27" t="s">
        <v>687</v>
      </c>
      <c r="N36" s="27" t="s">
        <v>692</v>
      </c>
    </row>
    <row r="37" s="27" customFormat="1" spans="1:17">
      <c r="A37" s="30" t="s">
        <v>467</v>
      </c>
      <c r="B37" s="30" t="s">
        <v>406</v>
      </c>
      <c r="C37" s="30">
        <v>1</v>
      </c>
      <c r="D37" s="30" t="s">
        <v>360</v>
      </c>
      <c r="E37" s="30" t="s">
        <v>431</v>
      </c>
      <c r="F37" s="30" t="s">
        <v>468</v>
      </c>
      <c r="G37" s="30" t="s">
        <v>363</v>
      </c>
      <c r="H37" s="27" t="s">
        <v>691</v>
      </c>
      <c r="I37" s="27">
        <v>3.8</v>
      </c>
      <c r="M37" s="27" t="s">
        <v>687</v>
      </c>
      <c r="N37" s="27" t="s">
        <v>694</v>
      </c>
    </row>
    <row r="38" s="27" customFormat="1" spans="1:17">
      <c r="A38" s="30" t="s">
        <v>470</v>
      </c>
      <c r="B38" s="30" t="s">
        <v>455</v>
      </c>
      <c r="C38" s="30">
        <v>3</v>
      </c>
      <c r="D38" s="30" t="s">
        <v>360</v>
      </c>
      <c r="E38" s="30" t="s">
        <v>431</v>
      </c>
      <c r="F38" s="30" t="s">
        <v>471</v>
      </c>
      <c r="G38" s="30" t="s">
        <v>363</v>
      </c>
      <c r="H38" s="27" t="s">
        <v>691</v>
      </c>
      <c r="I38" s="27">
        <v>0.14492</v>
      </c>
      <c r="M38" s="27" t="s">
        <v>687</v>
      </c>
      <c r="N38" s="27" t="s">
        <v>692</v>
      </c>
    </row>
    <row r="39" s="27" customFormat="1" spans="1:17">
      <c r="A39" s="30" t="s">
        <v>472</v>
      </c>
      <c r="B39" s="30" t="s">
        <v>458</v>
      </c>
      <c r="C39" s="30">
        <v>3</v>
      </c>
      <c r="D39" s="30" t="s">
        <v>360</v>
      </c>
      <c r="E39" s="30" t="s">
        <v>431</v>
      </c>
      <c r="F39" s="30" t="s">
        <v>473</v>
      </c>
      <c r="G39" s="30" t="s">
        <v>363</v>
      </c>
      <c r="H39" s="27" t="s">
        <v>691</v>
      </c>
      <c r="I39" s="27">
        <v>0.045</v>
      </c>
      <c r="M39" s="27" t="s">
        <v>687</v>
      </c>
      <c r="N39" s="27" t="s">
        <v>692</v>
      </c>
    </row>
    <row r="40" s="27" customFormat="1" spans="1:17">
      <c r="A40" s="30" t="s">
        <v>474</v>
      </c>
      <c r="B40" s="30" t="s">
        <v>475</v>
      </c>
      <c r="C40" s="30">
        <v>1</v>
      </c>
      <c r="D40" s="30" t="s">
        <v>360</v>
      </c>
      <c r="E40" s="30" t="s">
        <v>431</v>
      </c>
      <c r="F40" s="30" t="s">
        <v>476</v>
      </c>
      <c r="G40" s="30" t="s">
        <v>363</v>
      </c>
      <c r="H40" s="27" t="s">
        <v>691</v>
      </c>
      <c r="I40" s="27">
        <v>0.1438</v>
      </c>
      <c r="M40" s="27" t="s">
        <v>687</v>
      </c>
      <c r="N40" s="27" t="s">
        <v>692</v>
      </c>
    </row>
    <row r="41" s="27" customFormat="1" spans="1:17">
      <c r="A41" s="30" t="s">
        <v>477</v>
      </c>
      <c r="B41" s="30" t="s">
        <v>478</v>
      </c>
      <c r="C41" s="30">
        <v>1</v>
      </c>
      <c r="D41" s="30" t="s">
        <v>360</v>
      </c>
      <c r="E41" s="30" t="s">
        <v>480</v>
      </c>
      <c r="F41" s="30" t="s">
        <v>479</v>
      </c>
      <c r="G41" s="30" t="s">
        <v>363</v>
      </c>
      <c r="H41" s="27" t="s">
        <v>695</v>
      </c>
      <c r="I41" s="27">
        <v>2.2</v>
      </c>
      <c r="M41" s="27" t="s">
        <v>687</v>
      </c>
      <c r="N41" s="27" t="s">
        <v>692</v>
      </c>
    </row>
    <row r="42" s="27" customFormat="1" spans="1:17">
      <c r="A42" s="30" t="s">
        <v>482</v>
      </c>
      <c r="B42" s="30" t="s">
        <v>483</v>
      </c>
      <c r="C42" s="30">
        <v>1</v>
      </c>
      <c r="D42" s="30" t="s">
        <v>360</v>
      </c>
      <c r="E42" s="30" t="s">
        <v>485</v>
      </c>
      <c r="F42" s="30" t="s">
        <v>484</v>
      </c>
      <c r="G42" s="30" t="s">
        <v>363</v>
      </c>
      <c r="H42" s="27" t="s">
        <v>695</v>
      </c>
      <c r="I42" s="27">
        <v>1.18</v>
      </c>
      <c r="M42" s="27" t="s">
        <v>687</v>
      </c>
      <c r="N42" s="27" t="s">
        <v>692</v>
      </c>
    </row>
    <row r="43" s="27" customFormat="1" spans="1:17">
      <c r="A43" s="30">
        <v>10106495</v>
      </c>
      <c r="B43" s="30" t="s">
        <v>487</v>
      </c>
      <c r="C43" s="30">
        <v>2</v>
      </c>
      <c r="D43" s="30" t="s">
        <v>360</v>
      </c>
      <c r="E43" s="30" t="s">
        <v>489</v>
      </c>
      <c r="F43" s="30" t="s">
        <v>488</v>
      </c>
      <c r="G43" s="30" t="s">
        <v>449</v>
      </c>
      <c r="H43" s="27" t="s">
        <v>696</v>
      </c>
      <c r="I43" s="27">
        <v>0.28</v>
      </c>
      <c r="M43" s="27" t="s">
        <v>687</v>
      </c>
      <c r="N43" s="27" t="s">
        <v>692</v>
      </c>
      <c r="O43" s="27" t="s">
        <v>697</v>
      </c>
      <c r="P43" s="27" t="s">
        <v>698</v>
      </c>
      <c r="Q43" s="27">
        <v>0.09</v>
      </c>
    </row>
    <row r="44" s="27" customFormat="1" spans="1:17">
      <c r="A44" s="30" t="s">
        <v>490</v>
      </c>
      <c r="B44" s="30" t="s">
        <v>491</v>
      </c>
      <c r="C44" s="30">
        <v>1</v>
      </c>
      <c r="D44" s="30" t="s">
        <v>360</v>
      </c>
      <c r="E44" s="30" t="s">
        <v>489</v>
      </c>
      <c r="F44" s="30" t="s">
        <v>492</v>
      </c>
      <c r="G44" s="30" t="s">
        <v>449</v>
      </c>
      <c r="H44" s="27" t="s">
        <v>696</v>
      </c>
      <c r="I44" s="27">
        <v>0.06148</v>
      </c>
      <c r="M44" s="27" t="s">
        <v>687</v>
      </c>
      <c r="N44" s="27" t="s">
        <v>692</v>
      </c>
      <c r="O44" s="27" t="s">
        <v>697</v>
      </c>
      <c r="P44" s="27" t="s">
        <v>699</v>
      </c>
      <c r="Q44" s="27">
        <v>0.0324</v>
      </c>
    </row>
    <row r="45" s="27" customFormat="1" spans="1:17">
      <c r="A45" s="30" t="s">
        <v>493</v>
      </c>
      <c r="B45" s="30" t="s">
        <v>494</v>
      </c>
      <c r="C45" s="30">
        <v>3.5</v>
      </c>
      <c r="D45" s="30" t="s">
        <v>496</v>
      </c>
      <c r="E45" s="30" t="s">
        <v>497</v>
      </c>
      <c r="F45" s="30" t="s">
        <v>495</v>
      </c>
      <c r="G45" s="30" t="s">
        <v>449</v>
      </c>
      <c r="H45" s="27" t="s">
        <v>700</v>
      </c>
      <c r="J45" s="27">
        <v>136.33</v>
      </c>
      <c r="L45" s="27">
        <v>5311</v>
      </c>
      <c r="N45" s="27" t="s">
        <v>701</v>
      </c>
    </row>
    <row r="46" s="27" customFormat="1" spans="1:17">
      <c r="A46" s="30" t="s">
        <v>498</v>
      </c>
      <c r="B46" s="30" t="s">
        <v>499</v>
      </c>
      <c r="C46" s="30">
        <v>3.54</v>
      </c>
      <c r="D46" s="30" t="s">
        <v>496</v>
      </c>
      <c r="E46" s="30" t="s">
        <v>501</v>
      </c>
      <c r="F46" s="30" t="s">
        <v>500</v>
      </c>
      <c r="G46" s="30" t="s">
        <v>449</v>
      </c>
      <c r="H46" s="27" t="s">
        <v>700</v>
      </c>
      <c r="J46" s="27">
        <v>17.68</v>
      </c>
      <c r="L46" s="27">
        <v>755.77</v>
      </c>
      <c r="N46" s="27" t="s">
        <v>701</v>
      </c>
    </row>
    <row r="47" s="27" customFormat="1" spans="1:17">
      <c r="A47" s="30" t="s">
        <v>502</v>
      </c>
      <c r="B47" s="30" t="s">
        <v>503</v>
      </c>
      <c r="C47" s="30">
        <v>0.39</v>
      </c>
      <c r="D47" s="30" t="s">
        <v>496</v>
      </c>
      <c r="E47" s="30" t="s">
        <v>501</v>
      </c>
      <c r="F47" s="30" t="s">
        <v>504</v>
      </c>
      <c r="G47" s="30" t="s">
        <v>449</v>
      </c>
      <c r="H47" s="27" t="s">
        <v>700</v>
      </c>
      <c r="K47" s="27">
        <v>55.81</v>
      </c>
      <c r="L47" s="27">
        <v>450</v>
      </c>
      <c r="N47" s="27" t="s">
        <v>701</v>
      </c>
    </row>
    <row r="48" s="27" customFormat="1" spans="1:17">
      <c r="A48" s="30" t="s">
        <v>505</v>
      </c>
      <c r="B48" s="30" t="s">
        <v>506</v>
      </c>
      <c r="C48" s="30">
        <v>0.42</v>
      </c>
      <c r="D48" s="30" t="s">
        <v>496</v>
      </c>
      <c r="E48" s="30" t="s">
        <v>501</v>
      </c>
      <c r="F48" s="30" t="s">
        <v>507</v>
      </c>
      <c r="G48" s="30" t="s">
        <v>449</v>
      </c>
      <c r="H48" s="27" t="s">
        <v>700</v>
      </c>
      <c r="K48" s="27">
        <v>47.9</v>
      </c>
      <c r="L48" s="27">
        <v>562.8</v>
      </c>
      <c r="N48" s="27" t="s">
        <v>701</v>
      </c>
    </row>
    <row r="49" s="27" customFormat="1" spans="1:14">
      <c r="A49" s="30" t="s">
        <v>508</v>
      </c>
      <c r="B49" s="30" t="s">
        <v>509</v>
      </c>
      <c r="C49" s="30">
        <v>0.4</v>
      </c>
      <c r="D49" s="30" t="s">
        <v>496</v>
      </c>
      <c r="E49" s="30" t="s">
        <v>511</v>
      </c>
      <c r="F49" s="30" t="s">
        <v>510</v>
      </c>
      <c r="G49" s="30" t="s">
        <v>449</v>
      </c>
      <c r="H49" s="27" t="s">
        <v>700</v>
      </c>
      <c r="K49" s="27">
        <v>4.5</v>
      </c>
      <c r="L49" s="27">
        <v>31.31</v>
      </c>
      <c r="N49" s="27" t="s">
        <v>701</v>
      </c>
    </row>
    <row r="50" s="27" customFormat="1" spans="1:14">
      <c r="A50" s="30" t="s">
        <v>512</v>
      </c>
      <c r="B50" s="30" t="s">
        <v>509</v>
      </c>
      <c r="C50" s="30">
        <v>0.4</v>
      </c>
      <c r="D50" s="30" t="s">
        <v>496</v>
      </c>
      <c r="E50" s="30" t="s">
        <v>511</v>
      </c>
      <c r="F50" s="30" t="s">
        <v>513</v>
      </c>
      <c r="G50" s="30" t="s">
        <v>449</v>
      </c>
      <c r="H50" s="27" t="s">
        <v>700</v>
      </c>
      <c r="K50" s="27">
        <v>4.5</v>
      </c>
      <c r="L50" s="27">
        <v>31.31</v>
      </c>
      <c r="N50" s="27" t="s">
        <v>701</v>
      </c>
    </row>
    <row r="51" s="27" customFormat="1" spans="1:14">
      <c r="A51" s="30" t="s">
        <v>514</v>
      </c>
      <c r="B51" s="30" t="s">
        <v>509</v>
      </c>
      <c r="C51" s="30">
        <v>0.4</v>
      </c>
      <c r="D51" s="30" t="s">
        <v>496</v>
      </c>
      <c r="E51" s="30" t="s">
        <v>511</v>
      </c>
      <c r="F51" s="30" t="s">
        <v>515</v>
      </c>
      <c r="G51" s="30" t="s">
        <v>449</v>
      </c>
      <c r="H51" s="27" t="s">
        <v>700</v>
      </c>
      <c r="K51" s="27">
        <v>4.5</v>
      </c>
      <c r="L51" s="27">
        <v>31.31</v>
      </c>
      <c r="N51" s="27" t="s">
        <v>701</v>
      </c>
    </row>
    <row r="52" s="27" customFormat="1" spans="1:14">
      <c r="A52" s="30" t="s">
        <v>516</v>
      </c>
      <c r="B52" s="30" t="s">
        <v>509</v>
      </c>
      <c r="C52" s="30">
        <v>0.4</v>
      </c>
      <c r="D52" s="30" t="s">
        <v>496</v>
      </c>
      <c r="E52" s="30" t="s">
        <v>511</v>
      </c>
      <c r="F52" s="30" t="s">
        <v>517</v>
      </c>
      <c r="G52" s="30" t="s">
        <v>449</v>
      </c>
      <c r="H52" s="27" t="s">
        <v>700</v>
      </c>
      <c r="K52" s="27">
        <v>4.5</v>
      </c>
      <c r="L52" s="27">
        <v>31.31</v>
      </c>
      <c r="N52" s="27" t="s">
        <v>701</v>
      </c>
    </row>
    <row r="53" s="27" customFormat="1" spans="1:14">
      <c r="A53" s="30" t="s">
        <v>518</v>
      </c>
      <c r="B53" s="30" t="s">
        <v>509</v>
      </c>
      <c r="C53" s="30">
        <v>0.4</v>
      </c>
      <c r="D53" s="30" t="s">
        <v>496</v>
      </c>
      <c r="E53" s="30" t="s">
        <v>511</v>
      </c>
      <c r="F53" s="30" t="s">
        <v>519</v>
      </c>
      <c r="G53" s="30" t="s">
        <v>449</v>
      </c>
      <c r="H53" s="27" t="s">
        <v>700</v>
      </c>
      <c r="K53" s="27">
        <v>4.5</v>
      </c>
      <c r="L53" s="27">
        <v>31.31</v>
      </c>
      <c r="N53" s="27" t="s">
        <v>701</v>
      </c>
    </row>
    <row r="54" s="27" customFormat="1" spans="1:14">
      <c r="A54" s="30" t="s">
        <v>520</v>
      </c>
      <c r="B54" s="30" t="s">
        <v>509</v>
      </c>
      <c r="C54" s="30">
        <v>0.4</v>
      </c>
      <c r="D54" s="30" t="s">
        <v>496</v>
      </c>
      <c r="E54" s="30" t="s">
        <v>511</v>
      </c>
      <c r="F54" s="30" t="s">
        <v>521</v>
      </c>
      <c r="G54" s="30" t="s">
        <v>449</v>
      </c>
      <c r="H54" s="27" t="s">
        <v>700</v>
      </c>
      <c r="K54" s="27">
        <v>4.5</v>
      </c>
      <c r="L54" s="27">
        <v>31.31</v>
      </c>
      <c r="N54" s="27" t="s">
        <v>701</v>
      </c>
    </row>
    <row r="55" s="27" customFormat="1" spans="1:14">
      <c r="A55" s="30" t="s">
        <v>522</v>
      </c>
      <c r="B55" s="30" t="s">
        <v>509</v>
      </c>
      <c r="C55" s="30">
        <v>0.4</v>
      </c>
      <c r="D55" s="30" t="s">
        <v>496</v>
      </c>
      <c r="E55" s="30" t="s">
        <v>511</v>
      </c>
      <c r="F55" s="30" t="s">
        <v>702</v>
      </c>
      <c r="G55" s="30" t="s">
        <v>449</v>
      </c>
      <c r="H55" s="27" t="s">
        <v>700</v>
      </c>
      <c r="K55" s="27">
        <v>4.5</v>
      </c>
      <c r="L55" s="27">
        <v>31.31</v>
      </c>
      <c r="N55" s="27" t="s">
        <v>701</v>
      </c>
    </row>
    <row r="56" s="27" customFormat="1" spans="1:14">
      <c r="A56" s="30" t="s">
        <v>524</v>
      </c>
      <c r="B56" s="30" t="s">
        <v>509</v>
      </c>
      <c r="C56" s="30">
        <v>0.4</v>
      </c>
      <c r="D56" s="30" t="s">
        <v>496</v>
      </c>
      <c r="E56" s="30" t="s">
        <v>511</v>
      </c>
      <c r="F56" s="30" t="s">
        <v>525</v>
      </c>
      <c r="G56" s="30" t="s">
        <v>449</v>
      </c>
      <c r="H56" s="27" t="s">
        <v>700</v>
      </c>
      <c r="K56" s="27">
        <v>4.5</v>
      </c>
      <c r="L56" s="27">
        <v>31.31</v>
      </c>
      <c r="N56" s="27" t="s">
        <v>701</v>
      </c>
    </row>
    <row r="57" s="27" customFormat="1" spans="1:14">
      <c r="A57" s="30" t="s">
        <v>526</v>
      </c>
      <c r="B57" s="30" t="s">
        <v>509</v>
      </c>
      <c r="C57" s="30">
        <v>0.4</v>
      </c>
      <c r="D57" s="30" t="s">
        <v>496</v>
      </c>
      <c r="E57" s="30" t="s">
        <v>511</v>
      </c>
      <c r="F57" s="30" t="s">
        <v>703</v>
      </c>
      <c r="G57" s="30" t="s">
        <v>449</v>
      </c>
      <c r="H57" s="27" t="s">
        <v>700</v>
      </c>
      <c r="K57" s="27">
        <v>4.5</v>
      </c>
      <c r="L57" s="27">
        <v>31.31</v>
      </c>
      <c r="N57" s="27" t="s">
        <v>701</v>
      </c>
    </row>
    <row r="58" s="27" customFormat="1" spans="1:14">
      <c r="A58" s="30" t="s">
        <v>528</v>
      </c>
      <c r="B58" s="30" t="s">
        <v>509</v>
      </c>
      <c r="C58" s="30">
        <v>0.4</v>
      </c>
      <c r="D58" s="30" t="s">
        <v>496</v>
      </c>
      <c r="E58" s="30" t="s">
        <v>511</v>
      </c>
      <c r="F58" s="30" t="s">
        <v>529</v>
      </c>
      <c r="G58" s="30" t="s">
        <v>449</v>
      </c>
      <c r="H58" s="27" t="s">
        <v>700</v>
      </c>
      <c r="K58" s="27">
        <v>4.5</v>
      </c>
      <c r="L58" s="27">
        <v>31.31</v>
      </c>
      <c r="N58" s="27" t="s">
        <v>701</v>
      </c>
    </row>
    <row r="59" s="27" customFormat="1" spans="1:14">
      <c r="A59" s="30" t="s">
        <v>530</v>
      </c>
      <c r="B59" s="30" t="s">
        <v>509</v>
      </c>
      <c r="C59" s="30">
        <v>0.4</v>
      </c>
      <c r="D59" s="30" t="s">
        <v>496</v>
      </c>
      <c r="E59" s="30" t="s">
        <v>511</v>
      </c>
      <c r="F59" s="30" t="s">
        <v>531</v>
      </c>
      <c r="G59" s="30" t="s">
        <v>449</v>
      </c>
      <c r="H59" s="27" t="s">
        <v>700</v>
      </c>
      <c r="K59" s="27">
        <v>4.5</v>
      </c>
      <c r="L59" s="27">
        <v>31.31</v>
      </c>
      <c r="N59" s="27" t="s">
        <v>701</v>
      </c>
    </row>
    <row r="60" s="27" customFormat="1" spans="1:14">
      <c r="A60" s="30" t="s">
        <v>532</v>
      </c>
      <c r="B60" s="30" t="s">
        <v>509</v>
      </c>
      <c r="C60" s="30">
        <v>0.4</v>
      </c>
      <c r="D60" s="30" t="s">
        <v>496</v>
      </c>
      <c r="E60" s="30" t="s">
        <v>511</v>
      </c>
      <c r="F60" s="30" t="s">
        <v>533</v>
      </c>
      <c r="G60" s="30" t="s">
        <v>449</v>
      </c>
      <c r="H60" s="27" t="s">
        <v>700</v>
      </c>
      <c r="K60" s="27">
        <v>4.5</v>
      </c>
      <c r="L60" s="27">
        <v>31.31</v>
      </c>
      <c r="N60" s="27" t="s">
        <v>701</v>
      </c>
    </row>
    <row r="61" s="27" customFormat="1" spans="1:14">
      <c r="A61" s="30" t="s">
        <v>534</v>
      </c>
      <c r="B61" s="30" t="s">
        <v>509</v>
      </c>
      <c r="C61" s="30">
        <v>0.4</v>
      </c>
      <c r="D61" s="30" t="s">
        <v>496</v>
      </c>
      <c r="E61" s="30" t="s">
        <v>511</v>
      </c>
      <c r="F61" s="30" t="s">
        <v>535</v>
      </c>
      <c r="G61" s="30" t="s">
        <v>449</v>
      </c>
      <c r="H61" s="27" t="s">
        <v>700</v>
      </c>
      <c r="K61" s="27">
        <v>4.5</v>
      </c>
      <c r="L61" s="27">
        <v>31.31</v>
      </c>
      <c r="N61" s="27" t="s">
        <v>701</v>
      </c>
    </row>
    <row r="62" s="27" customFormat="1" spans="1:14">
      <c r="A62" s="30" t="s">
        <v>536</v>
      </c>
      <c r="B62" s="30" t="s">
        <v>509</v>
      </c>
      <c r="C62" s="30">
        <v>0.4</v>
      </c>
      <c r="D62" s="30" t="s">
        <v>496</v>
      </c>
      <c r="E62" s="30" t="s">
        <v>511</v>
      </c>
      <c r="F62" s="30" t="s">
        <v>537</v>
      </c>
      <c r="G62" s="30" t="s">
        <v>449</v>
      </c>
      <c r="H62" s="27" t="s">
        <v>700</v>
      </c>
      <c r="K62" s="27">
        <v>4.5</v>
      </c>
      <c r="L62" s="27">
        <v>31.31</v>
      </c>
      <c r="N62" s="27" t="s">
        <v>701</v>
      </c>
    </row>
    <row r="63" s="27" customFormat="1" spans="1:14">
      <c r="A63" s="30" t="s">
        <v>538</v>
      </c>
      <c r="B63" s="30" t="s">
        <v>509</v>
      </c>
      <c r="C63" s="30">
        <v>0.4</v>
      </c>
      <c r="D63" s="30" t="s">
        <v>496</v>
      </c>
      <c r="E63" s="30" t="s">
        <v>511</v>
      </c>
      <c r="F63" s="30" t="s">
        <v>539</v>
      </c>
      <c r="G63" s="30" t="s">
        <v>449</v>
      </c>
      <c r="H63" s="27" t="s">
        <v>700</v>
      </c>
      <c r="K63" s="27">
        <v>4.5</v>
      </c>
      <c r="L63" s="27">
        <v>31.31</v>
      </c>
      <c r="N63" s="27" t="s">
        <v>701</v>
      </c>
    </row>
    <row r="64" s="27" customFormat="1" spans="1:14">
      <c r="A64" s="30" t="s">
        <v>540</v>
      </c>
      <c r="B64" s="30" t="s">
        <v>509</v>
      </c>
      <c r="C64" s="30">
        <v>0.6</v>
      </c>
      <c r="D64" s="30" t="s">
        <v>496</v>
      </c>
      <c r="E64" s="30" t="s">
        <v>511</v>
      </c>
      <c r="F64" s="30" t="s">
        <v>541</v>
      </c>
      <c r="G64" s="30" t="s">
        <v>449</v>
      </c>
      <c r="H64" s="27" t="s">
        <v>700</v>
      </c>
      <c r="K64" s="27">
        <v>4.5</v>
      </c>
      <c r="L64" s="27">
        <v>31.31</v>
      </c>
      <c r="N64" s="27" t="s">
        <v>701</v>
      </c>
    </row>
    <row r="65" s="27" customFormat="1" spans="1:14">
      <c r="A65" s="30" t="s">
        <v>542</v>
      </c>
      <c r="B65" s="30" t="s">
        <v>509</v>
      </c>
      <c r="C65" s="30">
        <v>0.4</v>
      </c>
      <c r="D65" s="30" t="s">
        <v>496</v>
      </c>
      <c r="E65" s="30" t="s">
        <v>511</v>
      </c>
      <c r="F65" s="30" t="s">
        <v>543</v>
      </c>
      <c r="G65" s="30" t="s">
        <v>449</v>
      </c>
      <c r="H65" s="27" t="s">
        <v>700</v>
      </c>
      <c r="K65" s="27">
        <v>4.5</v>
      </c>
      <c r="L65" s="27">
        <v>31.31</v>
      </c>
      <c r="N65" s="27" t="s">
        <v>701</v>
      </c>
    </row>
    <row r="66" s="27" customFormat="1" spans="1:14">
      <c r="A66" s="30" t="s">
        <v>544</v>
      </c>
      <c r="B66" s="30" t="s">
        <v>545</v>
      </c>
      <c r="C66" s="30">
        <v>2.62</v>
      </c>
      <c r="D66" s="30" t="s">
        <v>496</v>
      </c>
      <c r="E66" s="30" t="s">
        <v>547</v>
      </c>
      <c r="F66" s="30" t="s">
        <v>546</v>
      </c>
      <c r="G66" s="30" t="s">
        <v>449</v>
      </c>
      <c r="H66" s="27" t="s">
        <v>696</v>
      </c>
      <c r="I66" s="27">
        <v>0.77</v>
      </c>
      <c r="M66" s="27" t="s">
        <v>687</v>
      </c>
      <c r="N66" s="27" t="s">
        <v>692</v>
      </c>
    </row>
    <row r="67" s="27" customFormat="1" spans="1:14">
      <c r="A67" s="30" t="s">
        <v>548</v>
      </c>
      <c r="B67" s="30" t="s">
        <v>549</v>
      </c>
      <c r="C67" s="30">
        <v>0.3</v>
      </c>
      <c r="D67" s="30" t="s">
        <v>496</v>
      </c>
      <c r="E67" s="30" t="s">
        <v>551</v>
      </c>
      <c r="F67" s="30" t="s">
        <v>550</v>
      </c>
      <c r="G67" s="30" t="s">
        <v>449</v>
      </c>
      <c r="H67" s="27" t="s">
        <v>696</v>
      </c>
      <c r="I67" s="27">
        <v>1.027</v>
      </c>
      <c r="M67" s="27" t="s">
        <v>687</v>
      </c>
      <c r="N67" s="27" t="s">
        <v>692</v>
      </c>
    </row>
    <row r="68" s="27" customFormat="1" spans="1:14">
      <c r="A68" s="30" t="s">
        <v>552</v>
      </c>
      <c r="B68" s="30" t="s">
        <v>553</v>
      </c>
      <c r="C68" s="30">
        <v>1.49</v>
      </c>
      <c r="D68" s="30" t="s">
        <v>496</v>
      </c>
      <c r="E68" s="30" t="s">
        <v>547</v>
      </c>
      <c r="F68" s="30" t="s">
        <v>554</v>
      </c>
      <c r="G68" s="30" t="s">
        <v>449</v>
      </c>
      <c r="H68" s="27" t="s">
        <v>696</v>
      </c>
      <c r="I68" s="27">
        <v>0.62</v>
      </c>
      <c r="M68" s="27" t="s">
        <v>687</v>
      </c>
      <c r="N68" s="27" t="s">
        <v>692</v>
      </c>
    </row>
    <row r="69" s="27" customFormat="1" spans="1:14">
      <c r="A69" s="30" t="s">
        <v>555</v>
      </c>
      <c r="B69" s="30" t="s">
        <v>556</v>
      </c>
      <c r="C69" s="30">
        <v>18</v>
      </c>
      <c r="D69" s="30" t="s">
        <v>496</v>
      </c>
      <c r="E69" s="30" t="s">
        <v>558</v>
      </c>
      <c r="F69" s="30" t="s">
        <v>557</v>
      </c>
      <c r="G69" s="30" t="s">
        <v>449</v>
      </c>
      <c r="H69" s="27" t="s">
        <v>696</v>
      </c>
      <c r="I69" s="27">
        <v>0.0686</v>
      </c>
      <c r="M69" s="27" t="s">
        <v>687</v>
      </c>
      <c r="N69" s="27" t="s">
        <v>692</v>
      </c>
    </row>
    <row r="70" s="27" customFormat="1" spans="1:14">
      <c r="A70" s="30" t="s">
        <v>559</v>
      </c>
      <c r="B70" s="30" t="s">
        <v>560</v>
      </c>
      <c r="C70" s="30">
        <v>8</v>
      </c>
      <c r="D70" s="30" t="s">
        <v>496</v>
      </c>
      <c r="E70" s="30" t="s">
        <v>562</v>
      </c>
      <c r="F70" s="30" t="s">
        <v>561</v>
      </c>
      <c r="G70" s="30" t="s">
        <v>449</v>
      </c>
      <c r="H70" s="27" t="s">
        <v>696</v>
      </c>
      <c r="I70" s="27">
        <v>0.209</v>
      </c>
      <c r="M70" s="27" t="s">
        <v>687</v>
      </c>
      <c r="N70" s="27" t="s">
        <v>692</v>
      </c>
    </row>
    <row r="71" s="27" customFormat="1" spans="1:14">
      <c r="A71" s="30" t="s">
        <v>563</v>
      </c>
      <c r="B71" s="30" t="s">
        <v>564</v>
      </c>
      <c r="C71" s="30">
        <v>2</v>
      </c>
      <c r="D71" s="30" t="s">
        <v>496</v>
      </c>
      <c r="E71" s="30" t="s">
        <v>562</v>
      </c>
      <c r="F71" s="30" t="s">
        <v>565</v>
      </c>
      <c r="G71" s="30" t="s">
        <v>449</v>
      </c>
      <c r="H71" s="27" t="s">
        <v>696</v>
      </c>
      <c r="I71" s="27">
        <v>0.14136</v>
      </c>
      <c r="M71" s="27" t="s">
        <v>687</v>
      </c>
      <c r="N71" s="27" t="s">
        <v>692</v>
      </c>
    </row>
    <row r="72" s="27" customFormat="1" spans="1:14">
      <c r="A72" s="30" t="s">
        <v>566</v>
      </c>
      <c r="B72" s="30" t="s">
        <v>567</v>
      </c>
      <c r="C72" s="30">
        <v>1</v>
      </c>
      <c r="D72" s="30" t="s">
        <v>360</v>
      </c>
      <c r="E72" s="30" t="s">
        <v>569</v>
      </c>
      <c r="F72" s="30" t="s">
        <v>704</v>
      </c>
      <c r="G72" s="30" t="s">
        <v>570</v>
      </c>
      <c r="H72" s="27" t="s">
        <v>705</v>
      </c>
      <c r="I72" s="27">
        <v>8.294</v>
      </c>
      <c r="M72" s="27" t="s">
        <v>687</v>
      </c>
      <c r="N72" s="27" t="s">
        <v>692</v>
      </c>
    </row>
    <row r="73" s="27" customFormat="1" spans="1:14">
      <c r="A73" s="30" t="s">
        <v>571</v>
      </c>
      <c r="B73" s="30" t="s">
        <v>572</v>
      </c>
      <c r="C73" s="30">
        <v>1</v>
      </c>
      <c r="D73" s="30" t="s">
        <v>360</v>
      </c>
      <c r="E73" s="30" t="s">
        <v>574</v>
      </c>
      <c r="F73" s="30" t="s">
        <v>706</v>
      </c>
      <c r="G73" s="30" t="s">
        <v>570</v>
      </c>
      <c r="H73" s="27" t="s">
        <v>705</v>
      </c>
      <c r="I73" s="27">
        <v>2.183</v>
      </c>
      <c r="M73" s="27" t="s">
        <v>687</v>
      </c>
      <c r="N73" s="27" t="s">
        <v>692</v>
      </c>
    </row>
    <row r="74" s="27" customFormat="1" spans="1:14">
      <c r="A74" s="30" t="s">
        <v>575</v>
      </c>
      <c r="B74" s="30" t="s">
        <v>572</v>
      </c>
      <c r="C74" s="30">
        <v>1</v>
      </c>
      <c r="D74" s="30" t="s">
        <v>360</v>
      </c>
      <c r="E74" s="30" t="s">
        <v>574</v>
      </c>
      <c r="F74" s="30" t="s">
        <v>576</v>
      </c>
      <c r="G74" s="30" t="s">
        <v>570</v>
      </c>
      <c r="H74" s="27" t="s">
        <v>705</v>
      </c>
      <c r="I74" s="27">
        <v>3.5393</v>
      </c>
      <c r="M74" s="27" t="s">
        <v>687</v>
      </c>
      <c r="N74" s="27" t="s">
        <v>692</v>
      </c>
    </row>
    <row r="75" s="27" customFormat="1" spans="1:14">
      <c r="A75" s="30" t="s">
        <v>577</v>
      </c>
      <c r="B75" s="30" t="s">
        <v>572</v>
      </c>
      <c r="C75" s="30">
        <v>1</v>
      </c>
      <c r="D75" s="30" t="s">
        <v>360</v>
      </c>
      <c r="E75" s="30" t="s">
        <v>578</v>
      </c>
      <c r="F75" s="30" t="s">
        <v>684</v>
      </c>
      <c r="G75" s="30" t="s">
        <v>449</v>
      </c>
      <c r="I75" s="27">
        <v>5</v>
      </c>
      <c r="N75" s="27" t="s">
        <v>707</v>
      </c>
    </row>
    <row r="76" s="27" customFormat="1" spans="1:14">
      <c r="A76" s="30" t="s">
        <v>579</v>
      </c>
      <c r="B76" s="30" t="s">
        <v>580</v>
      </c>
      <c r="C76" s="30">
        <v>1</v>
      </c>
      <c r="D76" s="30" t="s">
        <v>360</v>
      </c>
      <c r="E76" s="30" t="s">
        <v>581</v>
      </c>
      <c r="F76" s="30" t="s">
        <v>684</v>
      </c>
      <c r="G76" s="30" t="s">
        <v>708</v>
      </c>
      <c r="H76" s="27" t="s">
        <v>693</v>
      </c>
      <c r="I76" s="27">
        <v>1.51</v>
      </c>
      <c r="M76" s="27" t="s">
        <v>687</v>
      </c>
      <c r="N76" s="27" t="s">
        <v>709</v>
      </c>
    </row>
    <row r="77" s="27" customFormat="1" spans="1:14">
      <c r="A77" s="30" t="s">
        <v>582</v>
      </c>
      <c r="B77" s="30" t="s">
        <v>583</v>
      </c>
      <c r="C77" s="30">
        <v>1</v>
      </c>
      <c r="D77" s="30" t="s">
        <v>360</v>
      </c>
      <c r="E77" s="30" t="s">
        <v>585</v>
      </c>
      <c r="F77" s="30" t="s">
        <v>710</v>
      </c>
      <c r="G77" s="30" t="s">
        <v>449</v>
      </c>
      <c r="H77" s="27" t="s">
        <v>695</v>
      </c>
      <c r="I77" s="27">
        <v>1.358</v>
      </c>
      <c r="M77" s="27" t="s">
        <v>687</v>
      </c>
      <c r="N77" s="27" t="s">
        <v>692</v>
      </c>
    </row>
    <row r="78" s="27" customFormat="1" spans="1:14">
      <c r="A78" s="30" t="s">
        <v>586</v>
      </c>
      <c r="B78" s="30" t="s">
        <v>583</v>
      </c>
      <c r="C78" s="30">
        <v>2</v>
      </c>
      <c r="D78" s="30" t="s">
        <v>360</v>
      </c>
      <c r="E78" s="30" t="s">
        <v>588</v>
      </c>
      <c r="F78" s="30" t="s">
        <v>587</v>
      </c>
      <c r="G78" s="30" t="s">
        <v>449</v>
      </c>
      <c r="H78" s="27" t="s">
        <v>695</v>
      </c>
      <c r="I78" s="27">
        <v>0.76352</v>
      </c>
      <c r="M78" s="27" t="s">
        <v>687</v>
      </c>
      <c r="N78" s="27" t="s">
        <v>692</v>
      </c>
    </row>
    <row r="79" s="27" customFormat="1" spans="1:14">
      <c r="A79" s="30" t="s">
        <v>589</v>
      </c>
      <c r="B79" s="30" t="s">
        <v>590</v>
      </c>
      <c r="C79" s="30">
        <v>1</v>
      </c>
      <c r="D79" s="30" t="s">
        <v>360</v>
      </c>
      <c r="E79" s="30" t="s">
        <v>592</v>
      </c>
      <c r="F79" s="30" t="s">
        <v>591</v>
      </c>
      <c r="G79" s="30" t="s">
        <v>449</v>
      </c>
      <c r="H79" s="27" t="s">
        <v>693</v>
      </c>
      <c r="I79" s="27">
        <v>0.095</v>
      </c>
      <c r="M79" s="27" t="s">
        <v>687</v>
      </c>
      <c r="N79" s="27" t="s">
        <v>692</v>
      </c>
    </row>
    <row r="80" s="27" customFormat="1" spans="1:14">
      <c r="A80" s="30" t="s">
        <v>593</v>
      </c>
      <c r="B80" s="30" t="s">
        <v>590</v>
      </c>
      <c r="C80" s="30">
        <v>1</v>
      </c>
      <c r="D80" s="30" t="s">
        <v>360</v>
      </c>
      <c r="E80" s="30" t="s">
        <v>592</v>
      </c>
      <c r="F80" s="30" t="s">
        <v>594</v>
      </c>
      <c r="G80" s="30" t="s">
        <v>449</v>
      </c>
      <c r="H80" s="27" t="s">
        <v>693</v>
      </c>
      <c r="I80" s="27">
        <v>0.09</v>
      </c>
      <c r="M80" s="27" t="s">
        <v>687</v>
      </c>
      <c r="N80" s="27" t="s">
        <v>692</v>
      </c>
    </row>
    <row r="81" s="27" customFormat="1" spans="1:14">
      <c r="A81" s="30" t="s">
        <v>595</v>
      </c>
      <c r="B81" s="30" t="s">
        <v>596</v>
      </c>
      <c r="C81" s="30">
        <v>4</v>
      </c>
      <c r="D81" s="30" t="s">
        <v>360</v>
      </c>
      <c r="E81" s="30" t="s">
        <v>592</v>
      </c>
      <c r="F81" s="30" t="s">
        <v>597</v>
      </c>
      <c r="G81" s="30" t="s">
        <v>449</v>
      </c>
      <c r="H81" s="27" t="s">
        <v>693</v>
      </c>
      <c r="I81" s="27">
        <v>0.085</v>
      </c>
      <c r="M81" s="27" t="s">
        <v>687</v>
      </c>
      <c r="N81" s="27" t="s">
        <v>692</v>
      </c>
    </row>
    <row r="82" s="27" customFormat="1" spans="1:14">
      <c r="A82" s="30" t="s">
        <v>598</v>
      </c>
      <c r="B82" s="30" t="s">
        <v>599</v>
      </c>
      <c r="C82" s="30">
        <v>1</v>
      </c>
      <c r="D82" s="30" t="s">
        <v>360</v>
      </c>
      <c r="E82" s="30" t="s">
        <v>592</v>
      </c>
      <c r="F82" s="30" t="s">
        <v>600</v>
      </c>
      <c r="G82" s="30" t="s">
        <v>449</v>
      </c>
      <c r="H82" s="27" t="s">
        <v>693</v>
      </c>
      <c r="I82" s="27">
        <v>0.35</v>
      </c>
      <c r="M82" s="27" t="s">
        <v>687</v>
      </c>
      <c r="N82" s="27" t="s">
        <v>692</v>
      </c>
    </row>
    <row r="83" s="27" customFormat="1" spans="1:14">
      <c r="A83" s="30" t="s">
        <v>601</v>
      </c>
      <c r="B83" s="30" t="s">
        <v>602</v>
      </c>
      <c r="C83" s="30">
        <v>1</v>
      </c>
      <c r="D83" s="30" t="s">
        <v>360</v>
      </c>
      <c r="E83" s="30" t="s">
        <v>592</v>
      </c>
      <c r="F83" s="30" t="s">
        <v>603</v>
      </c>
      <c r="G83" s="30" t="s">
        <v>449</v>
      </c>
      <c r="H83" s="27" t="s">
        <v>693</v>
      </c>
      <c r="I83" s="27">
        <v>0.23275</v>
      </c>
      <c r="M83" s="27" t="s">
        <v>687</v>
      </c>
      <c r="N83" s="27" t="s">
        <v>692</v>
      </c>
    </row>
    <row r="84" s="27" customFormat="1" spans="1:14">
      <c r="A84" s="30" t="s">
        <v>607</v>
      </c>
      <c r="B84" s="30" t="s">
        <v>608</v>
      </c>
      <c r="C84" s="30">
        <v>17</v>
      </c>
      <c r="D84" s="30" t="s">
        <v>360</v>
      </c>
      <c r="E84" s="30" t="s">
        <v>592</v>
      </c>
      <c r="F84" s="30" t="s">
        <v>609</v>
      </c>
      <c r="G84" s="30" t="s">
        <v>449</v>
      </c>
      <c r="H84" s="27" t="s">
        <v>693</v>
      </c>
      <c r="I84" s="27">
        <v>0.053</v>
      </c>
      <c r="M84" s="27" t="s">
        <v>687</v>
      </c>
      <c r="N84" s="27" t="s">
        <v>692</v>
      </c>
    </row>
    <row r="85" s="27" customFormat="1" spans="1:14">
      <c r="A85" s="30" t="s">
        <v>610</v>
      </c>
      <c r="B85" s="30" t="s">
        <v>608</v>
      </c>
      <c r="C85" s="30">
        <v>1</v>
      </c>
      <c r="D85" s="30" t="s">
        <v>360</v>
      </c>
      <c r="E85" s="30" t="s">
        <v>592</v>
      </c>
      <c r="F85" s="30" t="s">
        <v>611</v>
      </c>
      <c r="G85" s="30" t="s">
        <v>449</v>
      </c>
      <c r="H85" s="27" t="s">
        <v>693</v>
      </c>
      <c r="I85" s="27">
        <v>0.25</v>
      </c>
      <c r="M85" s="27" t="s">
        <v>687</v>
      </c>
      <c r="N85" s="27" t="s">
        <v>692</v>
      </c>
    </row>
    <row r="86" s="27" customFormat="1" spans="1:14">
      <c r="A86" s="30" t="s">
        <v>612</v>
      </c>
      <c r="B86" s="30" t="s">
        <v>613</v>
      </c>
      <c r="C86" s="30">
        <v>2</v>
      </c>
      <c r="D86" s="30" t="s">
        <v>360</v>
      </c>
      <c r="E86" s="30" t="s">
        <v>614</v>
      </c>
      <c r="F86" s="30">
        <v>70002052</v>
      </c>
      <c r="G86" s="30" t="s">
        <v>449</v>
      </c>
      <c r="I86" s="27">
        <v>0.055</v>
      </c>
      <c r="M86" s="27" t="s">
        <v>687</v>
      </c>
      <c r="N86" s="27" t="s">
        <v>692</v>
      </c>
    </row>
    <row r="87" s="27" customFormat="1" spans="1:14">
      <c r="A87" s="30" t="s">
        <v>615</v>
      </c>
      <c r="B87" s="30" t="s">
        <v>406</v>
      </c>
      <c r="C87" s="30">
        <v>1</v>
      </c>
      <c r="D87" s="30" t="s">
        <v>360</v>
      </c>
      <c r="E87" s="30" t="s">
        <v>408</v>
      </c>
      <c r="F87" s="30" t="s">
        <v>616</v>
      </c>
      <c r="G87" s="30" t="s">
        <v>363</v>
      </c>
      <c r="H87" s="27" t="s">
        <v>689</v>
      </c>
      <c r="I87" s="27">
        <v>24</v>
      </c>
      <c r="N87" s="27" t="s">
        <v>690</v>
      </c>
    </row>
    <row r="88" s="27" customFormat="1" spans="1:14">
      <c r="A88" s="30" t="s">
        <v>618</v>
      </c>
      <c r="B88" s="30" t="s">
        <v>414</v>
      </c>
      <c r="C88" s="30">
        <v>2</v>
      </c>
      <c r="D88" s="30" t="s">
        <v>360</v>
      </c>
      <c r="E88" s="30" t="s">
        <v>408</v>
      </c>
      <c r="F88" s="30" t="s">
        <v>619</v>
      </c>
      <c r="G88" s="30" t="s">
        <v>363</v>
      </c>
      <c r="H88" s="27" t="s">
        <v>689</v>
      </c>
      <c r="I88" s="27"/>
      <c r="K88" s="2"/>
      <c r="L88" s="5"/>
      <c r="N88" s="27" t="s">
        <v>688</v>
      </c>
    </row>
    <row r="89" s="27" customFormat="1" spans="1:14">
      <c r="A89" s="30" t="s">
        <v>620</v>
      </c>
      <c r="B89" s="30" t="s">
        <v>621</v>
      </c>
      <c r="C89" s="30">
        <v>2</v>
      </c>
      <c r="D89" s="30" t="s">
        <v>360</v>
      </c>
      <c r="E89" s="30" t="s">
        <v>408</v>
      </c>
      <c r="F89" s="30" t="s">
        <v>622</v>
      </c>
      <c r="G89" s="30" t="s">
        <v>363</v>
      </c>
      <c r="H89" s="27" t="s">
        <v>689</v>
      </c>
      <c r="I89" s="27"/>
      <c r="K89" s="2"/>
      <c r="L89" s="5"/>
      <c r="N89" s="27" t="s">
        <v>688</v>
      </c>
    </row>
    <row r="90" s="27" customFormat="1" spans="1:14">
      <c r="A90" s="30" t="s">
        <v>623</v>
      </c>
      <c r="B90" s="30" t="s">
        <v>624</v>
      </c>
      <c r="C90" s="30">
        <v>2</v>
      </c>
      <c r="D90" s="30" t="s">
        <v>360</v>
      </c>
      <c r="E90" s="30" t="s">
        <v>408</v>
      </c>
      <c r="F90" s="30" t="s">
        <v>625</v>
      </c>
      <c r="G90" s="30" t="s">
        <v>363</v>
      </c>
      <c r="H90" s="27" t="s">
        <v>689</v>
      </c>
      <c r="I90" s="27"/>
      <c r="N90" s="27" t="s">
        <v>688</v>
      </c>
    </row>
    <row r="91" s="27" customFormat="1" spans="1:14">
      <c r="A91" s="30" t="s">
        <v>626</v>
      </c>
      <c r="B91" s="30" t="s">
        <v>627</v>
      </c>
      <c r="C91" s="30">
        <v>2</v>
      </c>
      <c r="D91" s="30" t="s">
        <v>360</v>
      </c>
      <c r="E91" s="30" t="s">
        <v>408</v>
      </c>
      <c r="F91" s="30" t="s">
        <v>628</v>
      </c>
      <c r="G91" s="30" t="s">
        <v>363</v>
      </c>
      <c r="H91" s="27" t="s">
        <v>689</v>
      </c>
      <c r="I91" s="27"/>
      <c r="N91" s="27" t="s">
        <v>688</v>
      </c>
    </row>
    <row r="92" s="27" customFormat="1" spans="1:14">
      <c r="A92" s="30" t="s">
        <v>629</v>
      </c>
      <c r="B92" s="30" t="s">
        <v>630</v>
      </c>
      <c r="C92" s="30">
        <v>2</v>
      </c>
      <c r="D92" s="30" t="s">
        <v>360</v>
      </c>
      <c r="E92" s="30" t="s">
        <v>408</v>
      </c>
      <c r="F92" s="30" t="s">
        <v>631</v>
      </c>
      <c r="G92" s="30" t="s">
        <v>363</v>
      </c>
      <c r="H92" s="27" t="s">
        <v>689</v>
      </c>
      <c r="I92" s="27"/>
      <c r="N92" s="27" t="s">
        <v>688</v>
      </c>
    </row>
    <row r="93" s="27" customFormat="1" spans="1:14">
      <c r="A93" s="30" t="s">
        <v>632</v>
      </c>
      <c r="B93" s="30" t="s">
        <v>633</v>
      </c>
      <c r="C93" s="30">
        <v>2</v>
      </c>
      <c r="D93" s="30" t="s">
        <v>360</v>
      </c>
      <c r="E93" s="30" t="s">
        <v>408</v>
      </c>
      <c r="F93" s="30" t="s">
        <v>634</v>
      </c>
      <c r="G93" s="30" t="s">
        <v>363</v>
      </c>
      <c r="H93" s="27" t="s">
        <v>689</v>
      </c>
      <c r="I93" s="27"/>
      <c r="N93" s="27" t="s">
        <v>688</v>
      </c>
    </row>
    <row r="94" s="27" customFormat="1" spans="1:14">
      <c r="A94" s="30" t="s">
        <v>635</v>
      </c>
      <c r="B94" s="30" t="s">
        <v>636</v>
      </c>
      <c r="C94" s="30">
        <v>1</v>
      </c>
      <c r="D94" s="30" t="s">
        <v>360</v>
      </c>
      <c r="E94" s="30" t="s">
        <v>361</v>
      </c>
      <c r="F94" s="30" t="s">
        <v>637</v>
      </c>
      <c r="G94" s="30" t="s">
        <v>363</v>
      </c>
      <c r="H94" s="27" t="s">
        <v>685</v>
      </c>
      <c r="I94" s="27">
        <v>10.235</v>
      </c>
      <c r="J94" s="27"/>
      <c r="M94" s="27" t="s">
        <v>687</v>
      </c>
      <c r="N94" s="27" t="s">
        <v>711</v>
      </c>
    </row>
    <row r="95" s="27" customFormat="1" spans="1:14">
      <c r="A95" s="30" t="s">
        <v>639</v>
      </c>
      <c r="B95" s="30" t="s">
        <v>640</v>
      </c>
      <c r="C95" s="30">
        <v>2</v>
      </c>
      <c r="D95" s="30" t="s">
        <v>360</v>
      </c>
      <c r="E95" s="30" t="s">
        <v>361</v>
      </c>
      <c r="F95" s="30" t="s">
        <v>641</v>
      </c>
      <c r="G95" s="30" t="s">
        <v>363</v>
      </c>
      <c r="H95" s="27" t="s">
        <v>685</v>
      </c>
      <c r="I95" s="27">
        <v>3.399</v>
      </c>
      <c r="M95" s="27" t="s">
        <v>687</v>
      </c>
      <c r="N95" s="27" t="s">
        <v>711</v>
      </c>
    </row>
    <row r="96" s="27" customFormat="1" spans="1:14">
      <c r="A96" s="30" t="s">
        <v>642</v>
      </c>
      <c r="B96" s="30" t="s">
        <v>643</v>
      </c>
      <c r="C96" s="30">
        <v>2</v>
      </c>
      <c r="D96" s="30" t="s">
        <v>360</v>
      </c>
      <c r="E96" s="30" t="s">
        <v>361</v>
      </c>
      <c r="F96" s="30" t="s">
        <v>644</v>
      </c>
      <c r="G96" s="30" t="s">
        <v>363</v>
      </c>
      <c r="H96" s="27" t="s">
        <v>685</v>
      </c>
      <c r="I96" s="27">
        <v>2.8152</v>
      </c>
      <c r="M96" s="27" t="s">
        <v>687</v>
      </c>
      <c r="N96" s="27" t="s">
        <v>711</v>
      </c>
    </row>
    <row r="97" s="27" customFormat="1" spans="1:14">
      <c r="A97" s="30" t="s">
        <v>645</v>
      </c>
      <c r="B97" s="30" t="s">
        <v>646</v>
      </c>
      <c r="C97" s="30">
        <v>2</v>
      </c>
      <c r="D97" s="30" t="s">
        <v>360</v>
      </c>
      <c r="E97" s="30" t="s">
        <v>361</v>
      </c>
      <c r="F97" s="30" t="s">
        <v>647</v>
      </c>
      <c r="G97" s="30" t="s">
        <v>363</v>
      </c>
      <c r="H97" s="27" t="s">
        <v>685</v>
      </c>
      <c r="I97" s="27">
        <v>0.4623</v>
      </c>
      <c r="M97" s="27" t="s">
        <v>687</v>
      </c>
      <c r="N97" s="27" t="s">
        <v>711</v>
      </c>
    </row>
    <row r="98" s="27" customFormat="1" spans="1:14">
      <c r="A98" s="30" t="s">
        <v>648</v>
      </c>
      <c r="B98" s="30" t="s">
        <v>649</v>
      </c>
      <c r="C98" s="30">
        <v>2</v>
      </c>
      <c r="D98" s="30" t="s">
        <v>360</v>
      </c>
      <c r="E98" s="30" t="s">
        <v>361</v>
      </c>
      <c r="F98" s="30" t="s">
        <v>650</v>
      </c>
      <c r="G98" s="30" t="s">
        <v>363</v>
      </c>
      <c r="H98" s="27" t="s">
        <v>685</v>
      </c>
      <c r="I98" s="27">
        <v>0.6935</v>
      </c>
      <c r="M98" s="27" t="s">
        <v>687</v>
      </c>
      <c r="N98" s="27" t="s">
        <v>711</v>
      </c>
    </row>
    <row r="99" s="27" customFormat="1" spans="1:14">
      <c r="A99" s="30" t="s">
        <v>651</v>
      </c>
      <c r="B99" s="30" t="s">
        <v>458</v>
      </c>
      <c r="C99" s="30">
        <v>1</v>
      </c>
      <c r="D99" s="30" t="s">
        <v>360</v>
      </c>
      <c r="E99" s="30" t="s">
        <v>361</v>
      </c>
      <c r="F99" s="30" t="s">
        <v>652</v>
      </c>
      <c r="G99" s="30" t="s">
        <v>363</v>
      </c>
      <c r="H99" s="27" t="s">
        <v>685</v>
      </c>
      <c r="I99" s="27">
        <v>1.1385</v>
      </c>
      <c r="M99" s="27" t="s">
        <v>687</v>
      </c>
      <c r="N99" s="27" t="s">
        <v>711</v>
      </c>
    </row>
    <row r="100" s="27" customFormat="1" spans="1:14">
      <c r="A100" s="30" t="s">
        <v>653</v>
      </c>
      <c r="B100" s="30" t="s">
        <v>654</v>
      </c>
      <c r="C100" s="30">
        <v>1</v>
      </c>
      <c r="D100" s="30" t="s">
        <v>360</v>
      </c>
      <c r="E100" s="30" t="s">
        <v>361</v>
      </c>
      <c r="F100" s="30" t="s">
        <v>655</v>
      </c>
      <c r="G100" s="30" t="s">
        <v>363</v>
      </c>
      <c r="H100" s="27" t="s">
        <v>685</v>
      </c>
      <c r="I100" s="27">
        <v>0.9315</v>
      </c>
      <c r="M100" s="27" t="s">
        <v>687</v>
      </c>
      <c r="N100" s="27" t="s">
        <v>711</v>
      </c>
    </row>
    <row r="101" s="27" customFormat="1" spans="1:14">
      <c r="A101" s="30" t="s">
        <v>656</v>
      </c>
      <c r="B101" s="30" t="s">
        <v>657</v>
      </c>
      <c r="C101" s="30">
        <v>1</v>
      </c>
      <c r="D101" s="30" t="s">
        <v>360</v>
      </c>
      <c r="E101" s="30" t="s">
        <v>361</v>
      </c>
      <c r="F101" s="30" t="s">
        <v>658</v>
      </c>
      <c r="G101" s="30" t="s">
        <v>363</v>
      </c>
      <c r="H101" s="27" t="s">
        <v>685</v>
      </c>
      <c r="I101" s="27">
        <v>0.6394</v>
      </c>
      <c r="M101" s="27" t="s">
        <v>687</v>
      </c>
      <c r="N101" s="27" t="s">
        <v>711</v>
      </c>
    </row>
    <row r="102" s="27" customFormat="1" spans="1:14">
      <c r="A102" s="30" t="s">
        <v>659</v>
      </c>
      <c r="B102" s="30" t="s">
        <v>660</v>
      </c>
      <c r="C102" s="30">
        <v>1</v>
      </c>
      <c r="D102" s="30" t="s">
        <v>360</v>
      </c>
      <c r="E102" s="30" t="s">
        <v>361</v>
      </c>
      <c r="F102" s="30" t="s">
        <v>661</v>
      </c>
      <c r="G102" s="30" t="s">
        <v>363</v>
      </c>
      <c r="H102" s="27" t="s">
        <v>685</v>
      </c>
      <c r="I102" s="27">
        <v>5.5775</v>
      </c>
      <c r="M102" s="27" t="s">
        <v>687</v>
      </c>
      <c r="N102" s="27" t="s">
        <v>711</v>
      </c>
    </row>
    <row r="103" s="27" customFormat="1" spans="1:14">
      <c r="A103" s="30" t="s">
        <v>662</v>
      </c>
      <c r="B103" s="30" t="s">
        <v>663</v>
      </c>
      <c r="C103" s="30">
        <v>1</v>
      </c>
      <c r="D103" s="30" t="s">
        <v>360</v>
      </c>
      <c r="E103" s="30" t="s">
        <v>361</v>
      </c>
      <c r="F103" s="30" t="s">
        <v>664</v>
      </c>
      <c r="G103" s="30" t="s">
        <v>363</v>
      </c>
      <c r="H103" s="27" t="s">
        <v>685</v>
      </c>
      <c r="I103" s="27">
        <v>0.1771</v>
      </c>
      <c r="M103" s="27" t="s">
        <v>687</v>
      </c>
      <c r="N103" s="27" t="s">
        <v>711</v>
      </c>
    </row>
    <row r="104" s="27" customFormat="1" spans="1:14">
      <c r="A104" s="30" t="s">
        <v>665</v>
      </c>
      <c r="B104" s="30" t="s">
        <v>666</v>
      </c>
      <c r="C104" s="30">
        <v>1.429</v>
      </c>
      <c r="D104" s="30" t="s">
        <v>496</v>
      </c>
      <c r="E104" s="30" t="s">
        <v>668</v>
      </c>
      <c r="F104" s="30" t="s">
        <v>684</v>
      </c>
      <c r="G104" s="30" t="s">
        <v>449</v>
      </c>
      <c r="H104" s="27" t="s">
        <v>700</v>
      </c>
      <c r="J104" s="27">
        <v>151.6</v>
      </c>
      <c r="K104" s="27">
        <v>15.8</v>
      </c>
      <c r="L104" s="27">
        <v>11520</v>
      </c>
      <c r="N104" s="27" t="s">
        <v>701</v>
      </c>
    </row>
    <row r="105" s="27" customFormat="1" spans="1:14">
      <c r="A105" s="30" t="s">
        <v>669</v>
      </c>
      <c r="B105" s="30" t="s">
        <v>670</v>
      </c>
      <c r="C105" s="30">
        <v>0.79</v>
      </c>
      <c r="D105" s="30" t="s">
        <v>496</v>
      </c>
      <c r="E105" s="30" t="s">
        <v>547</v>
      </c>
      <c r="F105" s="30" t="s">
        <v>671</v>
      </c>
      <c r="G105" s="30" t="s">
        <v>449</v>
      </c>
      <c r="H105" s="27" t="s">
        <v>696</v>
      </c>
      <c r="I105" s="27">
        <v>1.14</v>
      </c>
      <c r="M105" s="27" t="s">
        <v>687</v>
      </c>
      <c r="N105" s="27" t="s">
        <v>692</v>
      </c>
    </row>
    <row r="106" s="27" customFormat="1" spans="1:14">
      <c r="A106" s="30" t="s">
        <v>672</v>
      </c>
      <c r="B106" s="30" t="s">
        <v>572</v>
      </c>
      <c r="C106" s="30">
        <v>1</v>
      </c>
      <c r="D106" s="30" t="s">
        <v>360</v>
      </c>
      <c r="E106" s="30" t="s">
        <v>574</v>
      </c>
      <c r="F106" s="30" t="s">
        <v>673</v>
      </c>
      <c r="G106" s="30" t="s">
        <v>570</v>
      </c>
      <c r="H106" s="27" t="s">
        <v>705</v>
      </c>
      <c r="I106" s="27">
        <v>7.92</v>
      </c>
      <c r="M106" s="27" t="s">
        <v>687</v>
      </c>
      <c r="N106" s="27" t="s">
        <v>692</v>
      </c>
    </row>
    <row r="107" s="27" customFormat="1" spans="1:14">
      <c r="A107" s="30" t="s">
        <v>674</v>
      </c>
      <c r="B107" s="30" t="s">
        <v>675</v>
      </c>
      <c r="C107" s="30">
        <v>4</v>
      </c>
      <c r="D107" s="30" t="s">
        <v>360</v>
      </c>
      <c r="E107" s="30" t="s">
        <v>592</v>
      </c>
      <c r="F107" s="30" t="s">
        <v>676</v>
      </c>
      <c r="G107" s="30" t="s">
        <v>449</v>
      </c>
      <c r="H107" s="27" t="s">
        <v>693</v>
      </c>
      <c r="I107" s="27">
        <v>0.1</v>
      </c>
      <c r="M107" s="27" t="s">
        <v>687</v>
      </c>
      <c r="N107" s="27" t="s">
        <v>692</v>
      </c>
    </row>
    <row r="108" s="27" customFormat="1" spans="1:14">
      <c r="A108" s="30" t="s">
        <v>604</v>
      </c>
      <c r="B108" s="30" t="s">
        <v>605</v>
      </c>
      <c r="C108" s="30">
        <v>1</v>
      </c>
      <c r="D108" s="30" t="s">
        <v>360</v>
      </c>
      <c r="E108" s="30" t="s">
        <v>592</v>
      </c>
      <c r="F108" s="30"/>
      <c r="G108" s="30" t="s">
        <v>449</v>
      </c>
      <c r="H108" s="27" t="s">
        <v>693</v>
      </c>
      <c r="I108" s="27">
        <v>0.21</v>
      </c>
      <c r="M108" s="27" t="s">
        <v>687</v>
      </c>
      <c r="N108" s="27" t="s">
        <v>711</v>
      </c>
    </row>
    <row r="109" s="27" customFormat="1" spans="1:14">
      <c r="A109" s="2"/>
      <c r="B109" s="2"/>
      <c r="C109" s="2"/>
      <c r="D109" s="2"/>
      <c r="E109" s="2"/>
      <c r="F109" s="2"/>
      <c r="G109" s="2"/>
    </row>
    <row r="110" s="27" customFormat="1" spans="1:14">
      <c r="A110" s="2"/>
      <c r="B110" s="2"/>
      <c r="C110" s="2"/>
      <c r="D110" s="2"/>
      <c r="E110" s="2"/>
      <c r="F110" s="2"/>
      <c r="G110" s="2"/>
    </row>
    <row r="111" s="27" customFormat="1" spans="1:14">
      <c r="A111" s="2"/>
      <c r="B111" s="2"/>
      <c r="C111" s="2"/>
      <c r="D111" s="2"/>
      <c r="E111" s="2"/>
      <c r="F111" s="2"/>
      <c r="G111" s="2"/>
    </row>
    <row r="112" s="27" customFormat="1" spans="1:14">
      <c r="A112" s="2"/>
      <c r="B112" s="2"/>
      <c r="C112" s="2"/>
      <c r="D112" s="2"/>
      <c r="E112" s="2"/>
      <c r="F112" s="2"/>
      <c r="G112" s="2"/>
    </row>
    <row r="113" s="27" customFormat="1" spans="1:7">
      <c r="A113" s="2"/>
      <c r="B113" s="2"/>
      <c r="C113" s="2"/>
      <c r="D113" s="2"/>
      <c r="E113" s="2"/>
      <c r="F113" s="2"/>
      <c r="G113" s="2"/>
    </row>
    <row r="114" s="27" customFormat="1" spans="1:7">
      <c r="A114" s="2"/>
      <c r="B114" s="2"/>
      <c r="C114" s="2"/>
      <c r="D114" s="2"/>
      <c r="E114" s="2"/>
      <c r="F114" s="2"/>
      <c r="G114" s="2"/>
    </row>
    <row r="115" s="27" customFormat="1" spans="1:7">
      <c r="A115" s="2"/>
      <c r="B115" s="2"/>
      <c r="C115" s="2"/>
      <c r="D115" s="2"/>
      <c r="E115" s="2"/>
      <c r="F115" s="2"/>
      <c r="G115" s="2"/>
    </row>
    <row r="116" s="27" customFormat="1" spans="1:7">
      <c r="A116" s="2"/>
      <c r="B116" s="2"/>
      <c r="C116" s="2"/>
      <c r="D116" s="2"/>
      <c r="E116" s="2"/>
      <c r="F116" s="2"/>
      <c r="G116" s="2"/>
    </row>
    <row r="117" s="27" customFormat="1" spans="1:7">
      <c r="A117" s="2"/>
      <c r="B117" s="2"/>
      <c r="C117" s="2"/>
      <c r="D117" s="2"/>
      <c r="E117" s="2"/>
      <c r="F117" s="2"/>
      <c r="G117" s="2"/>
    </row>
    <row r="118" s="27" customFormat="1" spans="1:7">
      <c r="A118" s="2"/>
      <c r="B118" s="2"/>
      <c r="C118" s="2"/>
      <c r="D118" s="2"/>
      <c r="E118" s="2"/>
      <c r="F118" s="2"/>
      <c r="G118" s="2"/>
    </row>
    <row r="119" s="27" customFormat="1" spans="1:7">
      <c r="A119" s="2"/>
      <c r="B119" s="2"/>
      <c r="C119" s="2"/>
      <c r="D119" s="2"/>
      <c r="E119" s="2"/>
      <c r="F119" s="2"/>
      <c r="G119" s="2"/>
    </row>
    <row r="120" s="27" customFormat="1" spans="1:7">
      <c r="A120" s="2"/>
      <c r="B120" s="2"/>
      <c r="C120" s="2"/>
      <c r="D120" s="2"/>
      <c r="E120" s="2"/>
      <c r="F120" s="2"/>
      <c r="G120" s="2"/>
    </row>
    <row r="121" s="27" customFormat="1" spans="1:7">
      <c r="A121" s="2"/>
      <c r="B121" s="2"/>
      <c r="C121" s="2"/>
      <c r="D121" s="2"/>
      <c r="E121" s="2"/>
      <c r="F121" s="2"/>
      <c r="G121" s="2"/>
    </row>
    <row r="122" s="27" customFormat="1" spans="1:7">
      <c r="A122" s="2"/>
      <c r="B122" s="2"/>
      <c r="C122" s="2"/>
      <c r="D122" s="2"/>
      <c r="E122" s="2"/>
      <c r="F122" s="2"/>
      <c r="G122" s="2"/>
    </row>
    <row r="123" s="27" customFormat="1" spans="1:7">
      <c r="A123" s="2"/>
      <c r="B123" s="2"/>
      <c r="C123" s="2"/>
      <c r="D123" s="2"/>
      <c r="E123" s="2"/>
      <c r="F123" s="2"/>
      <c r="G123" s="2"/>
    </row>
    <row r="124" s="27" customFormat="1" spans="1:7">
      <c r="A124" s="2"/>
      <c r="B124" s="2"/>
      <c r="C124" s="2"/>
      <c r="D124" s="2"/>
      <c r="E124" s="2"/>
      <c r="F124" s="2"/>
      <c r="G124" s="2"/>
    </row>
    <row r="125" s="27" customFormat="1" spans="1:7">
      <c r="A125" s="2"/>
      <c r="B125" s="2"/>
      <c r="C125" s="2"/>
      <c r="D125" s="2"/>
      <c r="E125" s="2"/>
      <c r="F125" s="2"/>
      <c r="G125" s="2"/>
    </row>
    <row r="126" s="27" customFormat="1" spans="1:7">
      <c r="A126" s="2"/>
      <c r="B126" s="2"/>
      <c r="C126" s="2"/>
      <c r="D126" s="2"/>
      <c r="E126" s="2"/>
      <c r="F126" s="2"/>
      <c r="G126" s="2"/>
    </row>
    <row r="127" s="27" customFormat="1" spans="1:7">
      <c r="A127" s="2"/>
      <c r="B127" s="2"/>
      <c r="C127" s="2"/>
      <c r="D127" s="2"/>
      <c r="E127" s="2"/>
      <c r="F127" s="2"/>
      <c r="G127" s="2"/>
    </row>
    <row r="128" s="27" customFormat="1" spans="1:7">
      <c r="A128" s="2"/>
      <c r="B128" s="2"/>
      <c r="C128" s="2"/>
      <c r="D128" s="2"/>
      <c r="E128" s="2"/>
      <c r="F128" s="2"/>
      <c r="G128" s="2"/>
    </row>
    <row r="129" s="27" customFormat="1" spans="1:7">
      <c r="A129" s="2"/>
      <c r="B129" s="2"/>
      <c r="C129" s="2"/>
      <c r="D129" s="2"/>
      <c r="E129" s="2"/>
      <c r="F129" s="2"/>
      <c r="G129" s="2"/>
    </row>
    <row r="130" s="27" customFormat="1" spans="1:7">
      <c r="A130" s="2"/>
      <c r="B130" s="2"/>
      <c r="C130" s="2"/>
      <c r="D130" s="2"/>
      <c r="E130" s="2"/>
      <c r="F130" s="2"/>
      <c r="G130" s="2"/>
    </row>
    <row r="131" s="27" customFormat="1" spans="1:7">
      <c r="A131" s="2"/>
      <c r="B131" s="2"/>
      <c r="C131" s="2"/>
      <c r="D131" s="2"/>
      <c r="E131" s="2"/>
      <c r="F131" s="2"/>
      <c r="G131" s="2"/>
    </row>
    <row r="132" s="27" customFormat="1" spans="1:7">
      <c r="A132" s="2"/>
      <c r="B132" s="2"/>
      <c r="C132" s="2"/>
      <c r="D132" s="2"/>
      <c r="E132" s="2"/>
      <c r="F132" s="2"/>
      <c r="G132" s="2"/>
    </row>
    <row r="133" s="27" customFormat="1" spans="1:7">
      <c r="A133" s="2"/>
      <c r="B133" s="2"/>
      <c r="C133" s="2"/>
      <c r="D133" s="2"/>
      <c r="E133" s="2"/>
      <c r="F133" s="2"/>
      <c r="G133" s="2"/>
    </row>
    <row r="134" s="27" customFormat="1" spans="1:7">
      <c r="A134" s="2"/>
      <c r="B134" s="2"/>
      <c r="C134" s="2"/>
      <c r="D134" s="2"/>
      <c r="E134" s="2"/>
      <c r="F134" s="2"/>
      <c r="G134" s="2"/>
    </row>
    <row r="135" s="27" customFormat="1" spans="1:7">
      <c r="A135" s="2"/>
      <c r="B135" s="2"/>
      <c r="C135" s="2"/>
      <c r="D135" s="2"/>
      <c r="E135" s="2"/>
      <c r="F135" s="2"/>
      <c r="G135" s="2"/>
    </row>
    <row r="136" s="27" customFormat="1" spans="1:7">
      <c r="A136" s="2"/>
      <c r="B136" s="2"/>
      <c r="C136" s="2"/>
      <c r="D136" s="2"/>
      <c r="E136" s="2"/>
      <c r="F136" s="2"/>
      <c r="G136" s="2"/>
    </row>
    <row r="137" s="27" customFormat="1" spans="1:7">
      <c r="A137" s="2"/>
      <c r="B137" s="2"/>
      <c r="C137" s="2"/>
      <c r="D137" s="2"/>
      <c r="E137" s="2"/>
      <c r="F137" s="2"/>
      <c r="G137" s="2"/>
    </row>
    <row r="138" s="27" customFormat="1" spans="1:7">
      <c r="A138" s="2"/>
      <c r="B138" s="2"/>
      <c r="C138" s="2"/>
      <c r="D138" s="2"/>
      <c r="E138" s="2"/>
      <c r="F138" s="2"/>
      <c r="G138" s="2"/>
    </row>
    <row r="139" s="27" customFormat="1" spans="1:7">
      <c r="A139" s="2"/>
      <c r="B139" s="2"/>
      <c r="C139" s="2"/>
      <c r="D139" s="2"/>
      <c r="E139" s="2"/>
      <c r="F139" s="2"/>
      <c r="G139" s="2"/>
    </row>
    <row r="140" s="27" customFormat="1" spans="1:7">
      <c r="A140" s="2"/>
      <c r="B140" s="2"/>
      <c r="C140" s="2"/>
      <c r="D140" s="2"/>
      <c r="E140" s="2"/>
      <c r="F140" s="2"/>
      <c r="G140" s="2"/>
    </row>
    <row r="141" s="27" customFormat="1" spans="1:7">
      <c r="A141" s="2"/>
      <c r="B141" s="2"/>
      <c r="C141" s="2"/>
      <c r="D141" s="2"/>
      <c r="E141" s="2"/>
      <c r="F141" s="2"/>
      <c r="G141" s="2"/>
    </row>
    <row r="142" s="27" customFormat="1" spans="1:7">
      <c r="A142" s="2"/>
      <c r="B142" s="2"/>
      <c r="C142" s="2"/>
      <c r="D142" s="2"/>
      <c r="E142" s="2"/>
      <c r="F142" s="2"/>
      <c r="G142" s="2"/>
    </row>
    <row r="143" s="27" customFormat="1" spans="1:7">
      <c r="A143" s="2"/>
      <c r="B143" s="2"/>
      <c r="C143" s="2"/>
      <c r="D143" s="2"/>
      <c r="E143" s="2"/>
      <c r="F143" s="2"/>
      <c r="G143" s="2"/>
    </row>
    <row r="144" s="27" customFormat="1" spans="1:7">
      <c r="A144" s="2"/>
      <c r="B144" s="2"/>
      <c r="C144" s="2"/>
      <c r="D144" s="2"/>
      <c r="E144" s="2"/>
      <c r="F144" s="2"/>
      <c r="G144" s="2"/>
    </row>
    <row r="145" s="27" customFormat="1" spans="1:7">
      <c r="A145" s="2"/>
      <c r="B145" s="2"/>
      <c r="C145" s="2"/>
      <c r="D145" s="2"/>
      <c r="E145" s="2"/>
      <c r="F145" s="2"/>
      <c r="G145" s="2"/>
    </row>
    <row r="146" s="27" customFormat="1" spans="1:7">
      <c r="A146" s="2"/>
      <c r="B146" s="2"/>
      <c r="C146" s="2"/>
      <c r="D146" s="2"/>
      <c r="E146" s="2"/>
      <c r="F146" s="2"/>
      <c r="G146" s="2"/>
    </row>
    <row r="147" s="27" customFormat="1" spans="1:7">
      <c r="A147" s="2"/>
      <c r="B147" s="2"/>
      <c r="C147" s="2"/>
      <c r="D147" s="2"/>
      <c r="E147" s="2"/>
      <c r="F147" s="2"/>
      <c r="G147" s="2"/>
    </row>
    <row r="148" s="27" customFormat="1" spans="1:7">
      <c r="A148" s="2"/>
      <c r="B148" s="2"/>
      <c r="C148" s="2"/>
      <c r="D148" s="2"/>
      <c r="E148" s="2"/>
      <c r="F148" s="2"/>
      <c r="G148" s="2"/>
    </row>
    <row r="149" s="27" customFormat="1" spans="1:7">
      <c r="A149" s="2"/>
      <c r="B149" s="2"/>
      <c r="C149" s="2"/>
      <c r="D149" s="2"/>
      <c r="E149" s="2"/>
      <c r="F149" s="2"/>
      <c r="G149" s="2"/>
    </row>
    <row r="150" s="27" customFormat="1" spans="1:7">
      <c r="A150" s="2"/>
      <c r="B150" s="2"/>
      <c r="C150" s="2"/>
      <c r="D150" s="2"/>
      <c r="E150" s="2"/>
      <c r="F150" s="2"/>
      <c r="G150" s="2"/>
    </row>
    <row r="151" s="27" customFormat="1" spans="1:7">
      <c r="A151" s="2"/>
      <c r="B151" s="2"/>
      <c r="C151" s="2"/>
      <c r="D151" s="2"/>
      <c r="E151" s="2"/>
      <c r="F151" s="2"/>
      <c r="G151" s="2"/>
    </row>
    <row r="152" s="27" customFormat="1" spans="1:7">
      <c r="A152" s="2"/>
      <c r="B152" s="2"/>
      <c r="C152" s="2"/>
      <c r="D152" s="2"/>
      <c r="E152" s="2"/>
      <c r="F152" s="2"/>
      <c r="G152" s="2"/>
    </row>
    <row r="153" s="27" customFormat="1" spans="1:7">
      <c r="A153" s="2"/>
      <c r="B153" s="2"/>
      <c r="C153" s="2"/>
      <c r="D153" s="2"/>
      <c r="E153" s="2"/>
      <c r="F153" s="2"/>
      <c r="G153" s="2"/>
    </row>
    <row r="154" s="27" customFormat="1" spans="1:7">
      <c r="A154" s="2"/>
      <c r="B154" s="2"/>
      <c r="C154" s="2"/>
      <c r="D154" s="2"/>
      <c r="E154" s="2"/>
      <c r="F154" s="2"/>
      <c r="G154" s="2"/>
    </row>
    <row r="155" s="27" customFormat="1" spans="1:7">
      <c r="A155" s="2"/>
      <c r="B155" s="2"/>
      <c r="C155" s="2"/>
      <c r="D155" s="2"/>
      <c r="E155" s="2"/>
      <c r="F155" s="2"/>
      <c r="G155" s="2"/>
    </row>
    <row r="156" s="27" customFormat="1" spans="1:7">
      <c r="A156" s="2"/>
      <c r="B156" s="2"/>
      <c r="C156" s="2"/>
      <c r="D156" s="2"/>
      <c r="E156" s="2"/>
      <c r="F156" s="2"/>
      <c r="G156" s="2"/>
    </row>
    <row r="157" s="27" customFormat="1" spans="1:7">
      <c r="A157" s="2"/>
      <c r="B157" s="2"/>
      <c r="C157" s="2"/>
      <c r="D157" s="2"/>
      <c r="E157" s="2"/>
      <c r="F157" s="2"/>
      <c r="G157" s="2"/>
    </row>
    <row r="158" s="27" customFormat="1" spans="1:7">
      <c r="A158" s="2"/>
      <c r="B158" s="2"/>
      <c r="C158" s="2"/>
      <c r="D158" s="2"/>
      <c r="E158" s="2"/>
      <c r="F158" s="2"/>
      <c r="G158" s="2"/>
    </row>
    <row r="159" s="27" customFormat="1" spans="1:7">
      <c r="A159" s="2"/>
      <c r="B159" s="2"/>
      <c r="C159" s="2"/>
      <c r="D159" s="2"/>
      <c r="E159" s="2"/>
      <c r="F159" s="2"/>
      <c r="G159" s="2"/>
    </row>
    <row r="160" s="27" customFormat="1" spans="1:7">
      <c r="A160" s="2"/>
      <c r="B160" s="2"/>
      <c r="C160" s="2"/>
      <c r="D160" s="2"/>
      <c r="E160" s="2"/>
      <c r="F160" s="2"/>
      <c r="G160" s="2"/>
    </row>
    <row r="161" s="27" customFormat="1" spans="1:7">
      <c r="A161" s="2"/>
      <c r="B161" s="2"/>
      <c r="C161" s="2"/>
      <c r="D161" s="2"/>
      <c r="E161" s="2"/>
      <c r="F161" s="2"/>
      <c r="G161" s="2"/>
    </row>
    <row r="162" s="27" customFormat="1" spans="1:7">
      <c r="A162" s="2"/>
      <c r="B162" s="2"/>
      <c r="C162" s="2"/>
      <c r="D162" s="2"/>
      <c r="E162" s="2"/>
      <c r="F162" s="2"/>
      <c r="G162" s="2"/>
    </row>
    <row r="163" s="27" customFormat="1" spans="1:7">
      <c r="A163" s="2"/>
      <c r="B163" s="2"/>
      <c r="C163" s="2"/>
      <c r="D163" s="2"/>
      <c r="E163" s="2"/>
      <c r="F163" s="2"/>
      <c r="G163" s="2"/>
    </row>
    <row r="164" s="27" customFormat="1" spans="1:7">
      <c r="A164" s="2"/>
      <c r="B164" s="2"/>
      <c r="C164" s="2"/>
      <c r="D164" s="2"/>
      <c r="E164" s="2"/>
      <c r="F164" s="2"/>
      <c r="G164" s="2"/>
    </row>
    <row r="165" s="27" customFormat="1" spans="1:7">
      <c r="A165" s="2"/>
      <c r="B165" s="2"/>
      <c r="C165" s="2"/>
      <c r="D165" s="2"/>
      <c r="E165" s="2"/>
      <c r="F165" s="2"/>
      <c r="G165" s="2"/>
    </row>
    <row r="166" s="27" customFormat="1" spans="1:7">
      <c r="A166" s="2"/>
      <c r="B166" s="2"/>
      <c r="C166" s="2"/>
      <c r="D166" s="2"/>
      <c r="E166" s="2"/>
      <c r="F166" s="2"/>
      <c r="G166" s="2"/>
    </row>
    <row r="167" s="27" customFormat="1" spans="1:7">
      <c r="A167" s="2"/>
      <c r="B167" s="2"/>
      <c r="C167" s="2"/>
      <c r="D167" s="2"/>
      <c r="E167" s="2"/>
      <c r="F167" s="2"/>
      <c r="G167" s="2"/>
    </row>
    <row r="168" s="27" customFormat="1" spans="1:7">
      <c r="A168" s="2"/>
      <c r="B168" s="2"/>
      <c r="C168" s="2"/>
      <c r="D168" s="2"/>
      <c r="E168" s="2"/>
      <c r="F168" s="2"/>
      <c r="G168" s="2"/>
    </row>
    <row r="169" s="27" customFormat="1" spans="1:7">
      <c r="A169" s="2"/>
      <c r="B169" s="2"/>
      <c r="C169" s="2"/>
      <c r="D169" s="2"/>
      <c r="E169" s="2"/>
      <c r="F169" s="2"/>
      <c r="G169" s="2"/>
    </row>
    <row r="170" s="27" customFormat="1" spans="1:7">
      <c r="A170" s="2"/>
      <c r="B170" s="2"/>
      <c r="C170" s="2"/>
      <c r="D170" s="2"/>
      <c r="E170" s="2"/>
      <c r="F170" s="2"/>
      <c r="G170" s="2"/>
    </row>
    <row r="171" s="27" customFormat="1" spans="1:7">
      <c r="A171" s="2"/>
      <c r="B171" s="2"/>
      <c r="C171" s="2"/>
      <c r="D171" s="2"/>
      <c r="E171" s="2"/>
      <c r="F171" s="2"/>
      <c r="G171" s="2"/>
    </row>
    <row r="172" s="27" customFormat="1" spans="1:7">
      <c r="A172" s="2"/>
      <c r="B172" s="2"/>
      <c r="C172" s="2"/>
      <c r="D172" s="2"/>
      <c r="E172" s="2"/>
      <c r="F172" s="2"/>
      <c r="G172" s="2"/>
    </row>
    <row r="173" s="27" customFormat="1" spans="1:7">
      <c r="A173" s="2"/>
      <c r="B173" s="2"/>
      <c r="C173" s="2"/>
      <c r="D173" s="2"/>
      <c r="E173" s="2"/>
      <c r="F173" s="2"/>
      <c r="G173" s="2"/>
    </row>
    <row r="174" s="27" customFormat="1" spans="1:7">
      <c r="A174" s="2"/>
      <c r="B174" s="2"/>
      <c r="C174" s="2"/>
      <c r="D174" s="2"/>
      <c r="E174" s="2"/>
      <c r="F174" s="2"/>
      <c r="G174" s="2"/>
    </row>
    <row r="175" s="27" customFormat="1" spans="1:7">
      <c r="A175" s="2"/>
      <c r="B175" s="2"/>
      <c r="C175" s="2"/>
      <c r="D175" s="2"/>
      <c r="E175" s="2"/>
      <c r="F175" s="2"/>
      <c r="G175" s="2"/>
    </row>
    <row r="176" s="27" customFormat="1" spans="1:7">
      <c r="A176" s="2"/>
      <c r="B176" s="2"/>
      <c r="C176" s="2"/>
      <c r="D176" s="2"/>
      <c r="E176" s="2"/>
      <c r="F176" s="2"/>
      <c r="G176" s="2"/>
    </row>
    <row r="177" s="27" customFormat="1" spans="1:7">
      <c r="A177" s="2"/>
      <c r="B177" s="2"/>
      <c r="C177" s="2"/>
      <c r="D177" s="2"/>
      <c r="E177" s="2"/>
      <c r="F177" s="2"/>
      <c r="G177" s="2"/>
    </row>
  </sheetData>
  <autoFilter xmlns:etc="http://www.wps.cn/officeDocument/2017/etCustomData" ref="A2:Q108" etc:filterBottomFollowUsedRange="0">
    <extLst/>
  </autoFilter>
  <conditionalFormatting sqref="A2">
    <cfRule type="duplicateValues" dxfId="0" priority="3"/>
  </conditionalFormatting>
  <conditionalFormatting sqref="A$1:A$1048576">
    <cfRule type="duplicateValues" dxfId="0" priority="7"/>
    <cfRule type="duplicateValues" dxfId="0" priority="6"/>
  </conditionalFormatting>
  <conditionalFormatting sqref="A178:A1048576">
    <cfRule type="duplicateValues" dxfId="0" priority="5"/>
    <cfRule type="duplicateValues" dxfId="0" priority="1"/>
  </conditionalFormatting>
  <conditionalFormatting sqref="A178:A1048576 A1">
    <cfRule type="duplicateValues" dxfId="0" priority="4"/>
  </conditionalFormatting>
  <conditionalFormatting sqref="A178:A1048576 A1:A2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zoomScale="70" zoomScaleNormal="70" topLeftCell="A20" workbookViewId="0">
      <selection activeCell="D20" sqref="D20"/>
    </sheetView>
  </sheetViews>
  <sheetFormatPr defaultColWidth="9" defaultRowHeight="15.6"/>
  <cols>
    <col min="1" max="1" width="5.77777777777778" style="2" customWidth="1"/>
    <col min="2" max="3" width="42.7777777777778" style="3" customWidth="1"/>
    <col min="4" max="4" width="44.2222222222222" style="4" customWidth="1"/>
    <col min="5" max="5" width="43.5555555555556" style="4" customWidth="1"/>
    <col min="6" max="6" width="18.3333333333333" style="4" customWidth="1"/>
    <col min="7" max="7" width="20.4444444444444" style="4" customWidth="1"/>
    <col min="8" max="8" width="12.3333333333333" style="4" customWidth="1"/>
    <col min="9" max="9" width="13.8888888888889" style="4" customWidth="1"/>
    <col min="10" max="10" width="14.5555555555556" style="4" customWidth="1"/>
    <col min="11" max="11" width="12" style="5" customWidth="1"/>
    <col min="12" max="12" width="11.6666666666667" style="4" customWidth="1"/>
    <col min="13" max="13" width="12.3333333333333" style="4" customWidth="1"/>
    <col min="14" max="14" width="35.5555555555556" style="6" customWidth="1"/>
    <col min="15" max="16384" width="9" style="7"/>
  </cols>
  <sheetData>
    <row r="1" ht="31.2" spans="1:18">
      <c r="A1" s="8" t="s">
        <v>712</v>
      </c>
      <c r="B1" s="9" t="s">
        <v>713</v>
      </c>
      <c r="C1" s="9" t="s">
        <v>231</v>
      </c>
      <c r="D1" s="9" t="s">
        <v>714</v>
      </c>
      <c r="E1" s="9" t="s">
        <v>715</v>
      </c>
      <c r="F1" s="9" t="s">
        <v>716</v>
      </c>
      <c r="G1" s="9" t="s">
        <v>717</v>
      </c>
      <c r="H1" s="10" t="s">
        <v>718</v>
      </c>
      <c r="I1" s="10" t="s">
        <v>719</v>
      </c>
      <c r="J1" s="9" t="s">
        <v>720</v>
      </c>
      <c r="K1" s="11" t="s">
        <v>721</v>
      </c>
      <c r="L1" s="9" t="s">
        <v>722</v>
      </c>
      <c r="M1" s="9" t="s">
        <v>723</v>
      </c>
      <c r="N1" s="9" t="s">
        <v>350</v>
      </c>
    </row>
    <row r="2" s="1" customFormat="1" spans="1:18">
      <c r="A2" s="12">
        <v>1</v>
      </c>
      <c r="B2" s="12" t="s">
        <v>362</v>
      </c>
      <c r="C2" s="12"/>
      <c r="D2" s="13" t="s">
        <v>357</v>
      </c>
      <c r="E2" s="13" t="s">
        <v>358</v>
      </c>
      <c r="F2" s="13" t="s">
        <v>359</v>
      </c>
      <c r="G2" s="13"/>
      <c r="H2" s="13"/>
      <c r="I2" s="13"/>
      <c r="J2" s="13"/>
      <c r="K2" s="13">
        <v>1</v>
      </c>
      <c r="L2" s="14" t="s">
        <v>360</v>
      </c>
      <c r="M2" s="13" t="s">
        <v>361</v>
      </c>
      <c r="N2" s="12"/>
      <c r="O2" s="12"/>
      <c r="P2" s="12"/>
      <c r="Q2" s="12"/>
      <c r="R2" s="12"/>
    </row>
    <row r="3" s="1" customFormat="1" spans="1:18">
      <c r="A3" s="12">
        <v>2</v>
      </c>
      <c r="B3" s="15"/>
      <c r="C3" s="15"/>
      <c r="D3" s="13" t="s">
        <v>364</v>
      </c>
      <c r="E3" s="13" t="s">
        <v>365</v>
      </c>
      <c r="F3" s="13" t="s">
        <v>359</v>
      </c>
      <c r="G3" s="13" t="s">
        <v>366</v>
      </c>
      <c r="H3" s="13"/>
      <c r="I3" s="13"/>
      <c r="J3" s="13"/>
      <c r="K3" s="13">
        <v>1</v>
      </c>
      <c r="L3" s="14" t="s">
        <v>360</v>
      </c>
      <c r="M3" s="13" t="s">
        <v>361</v>
      </c>
      <c r="N3" s="12"/>
      <c r="O3" s="12"/>
      <c r="P3" s="12"/>
      <c r="Q3" s="12"/>
      <c r="R3" s="12"/>
    </row>
    <row r="4" s="1" customFormat="1" spans="1:18">
      <c r="A4" s="12">
        <v>3</v>
      </c>
      <c r="B4" s="15"/>
      <c r="C4" s="15"/>
      <c r="D4" s="13" t="s">
        <v>367</v>
      </c>
      <c r="E4" s="13" t="s">
        <v>368</v>
      </c>
      <c r="F4" s="13" t="s">
        <v>359</v>
      </c>
      <c r="G4" s="13" t="s">
        <v>369</v>
      </c>
      <c r="H4" s="13"/>
      <c r="I4" s="13"/>
      <c r="J4" s="13"/>
      <c r="K4" s="13">
        <v>2</v>
      </c>
      <c r="L4" s="14" t="s">
        <v>360</v>
      </c>
      <c r="M4" s="13" t="s">
        <v>361</v>
      </c>
      <c r="N4" s="12"/>
      <c r="O4" s="12"/>
      <c r="P4" s="12"/>
      <c r="Q4" s="12"/>
      <c r="R4" s="12"/>
    </row>
    <row r="5" s="1" customFormat="1" spans="1:18">
      <c r="A5" s="12">
        <v>4</v>
      </c>
      <c r="B5" s="15"/>
      <c r="C5" s="15"/>
      <c r="D5" s="13" t="s">
        <v>370</v>
      </c>
      <c r="E5" s="13" t="s">
        <v>371</v>
      </c>
      <c r="F5" s="13" t="s">
        <v>359</v>
      </c>
      <c r="G5" s="13" t="s">
        <v>372</v>
      </c>
      <c r="H5" s="13"/>
      <c r="I5" s="13"/>
      <c r="J5" s="13"/>
      <c r="K5" s="13">
        <v>2</v>
      </c>
      <c r="L5" s="14" t="s">
        <v>360</v>
      </c>
      <c r="M5" s="13" t="s">
        <v>361</v>
      </c>
      <c r="N5" s="12"/>
      <c r="O5" s="12"/>
      <c r="P5" s="12"/>
      <c r="Q5" s="12"/>
      <c r="R5" s="12"/>
    </row>
    <row r="6" s="1" customFormat="1" spans="1:18">
      <c r="A6" s="12">
        <v>5</v>
      </c>
      <c r="B6" s="15"/>
      <c r="C6" s="15"/>
      <c r="D6" s="13" t="s">
        <v>373</v>
      </c>
      <c r="E6" s="13" t="s">
        <v>374</v>
      </c>
      <c r="F6" s="13" t="s">
        <v>359</v>
      </c>
      <c r="G6" s="13" t="s">
        <v>375</v>
      </c>
      <c r="H6" s="13"/>
      <c r="I6" s="13"/>
      <c r="J6" s="13"/>
      <c r="K6" s="13">
        <v>2</v>
      </c>
      <c r="L6" s="14" t="s">
        <v>360</v>
      </c>
      <c r="M6" s="13" t="s">
        <v>361</v>
      </c>
      <c r="N6" s="12"/>
      <c r="O6" s="12"/>
      <c r="P6" s="12"/>
      <c r="Q6" s="12"/>
      <c r="R6" s="12"/>
    </row>
    <row r="7" s="1" customFormat="1" spans="1:18">
      <c r="A7" s="12">
        <v>6</v>
      </c>
      <c r="B7" s="15"/>
      <c r="C7" s="15"/>
      <c r="D7" s="13" t="s">
        <v>376</v>
      </c>
      <c r="E7" s="13" t="s">
        <v>377</v>
      </c>
      <c r="F7" s="13" t="s">
        <v>359</v>
      </c>
      <c r="G7" s="13" t="s">
        <v>378</v>
      </c>
      <c r="H7" s="13"/>
      <c r="I7" s="13"/>
      <c r="J7" s="13"/>
      <c r="K7" s="13">
        <v>1</v>
      </c>
      <c r="L7" s="14" t="s">
        <v>360</v>
      </c>
      <c r="M7" s="13" t="s">
        <v>361</v>
      </c>
      <c r="N7" s="12"/>
      <c r="O7" s="12"/>
      <c r="P7" s="12"/>
      <c r="Q7" s="12"/>
      <c r="R7" s="12"/>
    </row>
    <row r="8" s="1" customFormat="1" spans="1:18">
      <c r="A8" s="12">
        <v>7</v>
      </c>
      <c r="B8" s="15"/>
      <c r="C8" s="15"/>
      <c r="D8" s="13" t="s">
        <v>379</v>
      </c>
      <c r="E8" s="13" t="s">
        <v>380</v>
      </c>
      <c r="F8" s="13" t="s">
        <v>359</v>
      </c>
      <c r="G8" s="13" t="s">
        <v>381</v>
      </c>
      <c r="H8" s="13"/>
      <c r="I8" s="13"/>
      <c r="J8" s="13"/>
      <c r="K8" s="13">
        <v>1</v>
      </c>
      <c r="L8" s="14" t="s">
        <v>360</v>
      </c>
      <c r="M8" s="13" t="s">
        <v>361</v>
      </c>
      <c r="N8" s="12"/>
      <c r="O8" s="12"/>
      <c r="P8" s="12"/>
      <c r="Q8" s="12"/>
      <c r="R8" s="12"/>
    </row>
    <row r="9" s="1" customFormat="1" spans="1:18">
      <c r="A9" s="12">
        <v>8</v>
      </c>
      <c r="B9" s="15"/>
      <c r="C9" s="15"/>
      <c r="D9" s="13" t="s">
        <v>382</v>
      </c>
      <c r="E9" s="13" t="s">
        <v>383</v>
      </c>
      <c r="F9" s="13" t="s">
        <v>359</v>
      </c>
      <c r="G9" s="13" t="s">
        <v>384</v>
      </c>
      <c r="H9" s="13"/>
      <c r="I9" s="13"/>
      <c r="J9" s="13"/>
      <c r="K9" s="13">
        <v>1</v>
      </c>
      <c r="L9" s="14" t="s">
        <v>360</v>
      </c>
      <c r="M9" s="13" t="s">
        <v>361</v>
      </c>
      <c r="N9" s="12"/>
      <c r="O9" s="12"/>
      <c r="P9" s="12"/>
      <c r="Q9" s="12"/>
      <c r="R9" s="12"/>
    </row>
    <row r="10" s="1" customFormat="1" spans="1:18">
      <c r="A10" s="12">
        <v>9</v>
      </c>
      <c r="B10" s="15"/>
      <c r="C10" s="15"/>
      <c r="D10" s="13" t="s">
        <v>385</v>
      </c>
      <c r="E10" s="13" t="s">
        <v>386</v>
      </c>
      <c r="F10" s="13" t="s">
        <v>359</v>
      </c>
      <c r="G10" s="13" t="s">
        <v>387</v>
      </c>
      <c r="H10" s="13"/>
      <c r="I10" s="13"/>
      <c r="J10" s="13"/>
      <c r="K10" s="13">
        <v>1</v>
      </c>
      <c r="L10" s="14" t="s">
        <v>360</v>
      </c>
      <c r="M10" s="13" t="s">
        <v>361</v>
      </c>
      <c r="N10" s="12"/>
      <c r="O10" s="12"/>
      <c r="P10" s="12"/>
      <c r="Q10" s="12"/>
      <c r="R10" s="12"/>
    </row>
    <row r="11" s="1" customFormat="1" spans="1:18">
      <c r="A11" s="12">
        <v>10</v>
      </c>
      <c r="B11" s="15"/>
      <c r="C11" s="15"/>
      <c r="D11" s="13" t="s">
        <v>388</v>
      </c>
      <c r="E11" s="13" t="s">
        <v>389</v>
      </c>
      <c r="F11" s="13" t="s">
        <v>359</v>
      </c>
      <c r="G11" s="13" t="s">
        <v>390</v>
      </c>
      <c r="H11" s="13"/>
      <c r="I11" s="13"/>
      <c r="J11" s="13"/>
      <c r="K11" s="13">
        <v>1</v>
      </c>
      <c r="L11" s="14" t="s">
        <v>360</v>
      </c>
      <c r="M11" s="13" t="s">
        <v>361</v>
      </c>
      <c r="N11" s="12"/>
      <c r="O11" s="12"/>
      <c r="P11" s="12"/>
      <c r="Q11" s="12"/>
      <c r="R11" s="12"/>
    </row>
    <row r="12" s="1" customFormat="1" spans="1:18">
      <c r="A12" s="12">
        <v>11</v>
      </c>
      <c r="B12" s="15"/>
      <c r="C12" s="15"/>
      <c r="D12" s="13" t="s">
        <v>391</v>
      </c>
      <c r="E12" s="13" t="s">
        <v>392</v>
      </c>
      <c r="F12" s="13" t="s">
        <v>359</v>
      </c>
      <c r="G12" s="13" t="s">
        <v>393</v>
      </c>
      <c r="H12" s="13"/>
      <c r="I12" s="13"/>
      <c r="J12" s="13"/>
      <c r="K12" s="13">
        <v>1</v>
      </c>
      <c r="L12" s="14" t="s">
        <v>360</v>
      </c>
      <c r="M12" s="13" t="s">
        <v>361</v>
      </c>
      <c r="N12" s="12"/>
      <c r="O12" s="12"/>
      <c r="P12" s="12"/>
      <c r="Q12" s="12"/>
      <c r="R12" s="12"/>
    </row>
    <row r="13" s="1" customFormat="1" spans="1:18">
      <c r="A13" s="12">
        <v>12</v>
      </c>
      <c r="B13" s="15"/>
      <c r="C13" s="15"/>
      <c r="D13" s="13" t="s">
        <v>394</v>
      </c>
      <c r="E13" s="13" t="s">
        <v>395</v>
      </c>
      <c r="F13" s="13" t="s">
        <v>359</v>
      </c>
      <c r="G13" s="13" t="s">
        <v>396</v>
      </c>
      <c r="H13" s="13"/>
      <c r="I13" s="13"/>
      <c r="J13" s="13"/>
      <c r="K13" s="13">
        <v>3</v>
      </c>
      <c r="L13" s="14" t="s">
        <v>360</v>
      </c>
      <c r="M13" s="13" t="s">
        <v>361</v>
      </c>
      <c r="N13" s="12"/>
      <c r="O13" s="12"/>
      <c r="P13" s="12"/>
      <c r="Q13" s="12"/>
      <c r="R13" s="12"/>
    </row>
    <row r="14" s="1" customFormat="1" spans="1:18">
      <c r="A14" s="12">
        <v>13</v>
      </c>
      <c r="B14" s="15"/>
      <c r="C14" s="15"/>
      <c r="D14" s="13" t="s">
        <v>397</v>
      </c>
      <c r="E14" s="13" t="s">
        <v>398</v>
      </c>
      <c r="F14" s="13" t="s">
        <v>359</v>
      </c>
      <c r="G14" s="13" t="s">
        <v>399</v>
      </c>
      <c r="H14" s="13"/>
      <c r="I14" s="13"/>
      <c r="J14" s="13"/>
      <c r="K14" s="13">
        <v>3</v>
      </c>
      <c r="L14" s="14" t="s">
        <v>360</v>
      </c>
      <c r="M14" s="13" t="s">
        <v>361</v>
      </c>
      <c r="N14" s="12"/>
      <c r="O14" s="12"/>
      <c r="P14" s="12"/>
      <c r="Q14" s="12"/>
      <c r="R14" s="12"/>
    </row>
    <row r="15" s="1" customFormat="1" spans="1:18">
      <c r="A15" s="12">
        <v>14</v>
      </c>
      <c r="B15" s="15"/>
      <c r="C15" s="15"/>
      <c r="D15" s="13" t="s">
        <v>400</v>
      </c>
      <c r="E15" s="13" t="s">
        <v>401</v>
      </c>
      <c r="F15" s="13" t="s">
        <v>359</v>
      </c>
      <c r="G15" s="13"/>
      <c r="H15" s="13"/>
      <c r="I15" s="13"/>
      <c r="J15" s="13"/>
      <c r="K15" s="13">
        <v>1</v>
      </c>
      <c r="L15" s="14" t="s">
        <v>360</v>
      </c>
      <c r="M15" s="13" t="s">
        <v>361</v>
      </c>
      <c r="N15" s="12" t="s">
        <v>724</v>
      </c>
      <c r="O15" s="12"/>
      <c r="P15" s="12"/>
      <c r="Q15" s="12"/>
      <c r="R15" s="12"/>
    </row>
    <row r="16" s="1" customFormat="1" spans="1:18">
      <c r="A16" s="12">
        <v>15</v>
      </c>
      <c r="B16" s="16"/>
      <c r="C16" s="16"/>
      <c r="D16" s="13" t="s">
        <v>402</v>
      </c>
      <c r="E16" s="13" t="s">
        <v>403</v>
      </c>
      <c r="F16" s="13" t="s">
        <v>359</v>
      </c>
      <c r="G16" s="13" t="s">
        <v>404</v>
      </c>
      <c r="H16" s="13"/>
      <c r="I16" s="13"/>
      <c r="J16" s="13"/>
      <c r="K16" s="13">
        <v>2</v>
      </c>
      <c r="L16" s="14" t="s">
        <v>360</v>
      </c>
      <c r="M16" s="13" t="s">
        <v>361</v>
      </c>
      <c r="N16" s="12"/>
      <c r="O16" s="12"/>
      <c r="P16" s="12"/>
      <c r="Q16" s="12"/>
      <c r="R16" s="12"/>
    </row>
    <row r="17" s="1" customFormat="1" spans="1:18">
      <c r="A17" s="12">
        <v>16</v>
      </c>
      <c r="B17" s="17" t="s">
        <v>409</v>
      </c>
      <c r="C17" s="17">
        <v>24</v>
      </c>
      <c r="D17" s="18" t="s">
        <v>405</v>
      </c>
      <c r="E17" s="18" t="s">
        <v>406</v>
      </c>
      <c r="F17" s="14" t="s">
        <v>359</v>
      </c>
      <c r="G17" s="19" t="s">
        <v>407</v>
      </c>
      <c r="H17" s="14"/>
      <c r="I17" s="14"/>
      <c r="J17" s="14"/>
      <c r="K17" s="18">
        <v>1</v>
      </c>
      <c r="L17" s="14" t="s">
        <v>360</v>
      </c>
      <c r="M17" s="19" t="s">
        <v>408</v>
      </c>
      <c r="N17" s="12"/>
      <c r="O17" s="12"/>
      <c r="P17" s="12"/>
      <c r="Q17" s="12"/>
      <c r="R17" s="12"/>
    </row>
    <row r="18" s="1" customFormat="1" spans="1:18">
      <c r="A18" s="12">
        <v>17</v>
      </c>
      <c r="B18" s="20"/>
      <c r="C18" s="20"/>
      <c r="D18" s="18" t="s">
        <v>410</v>
      </c>
      <c r="E18" s="18" t="s">
        <v>411</v>
      </c>
      <c r="F18" s="14" t="s">
        <v>359</v>
      </c>
      <c r="G18" s="19" t="s">
        <v>412</v>
      </c>
      <c r="H18" s="14"/>
      <c r="I18" s="14"/>
      <c r="J18" s="14"/>
      <c r="K18" s="18">
        <v>2</v>
      </c>
      <c r="L18" s="14" t="s">
        <v>360</v>
      </c>
      <c r="M18" s="19" t="s">
        <v>408</v>
      </c>
      <c r="N18" s="12"/>
      <c r="O18" s="12"/>
      <c r="P18" s="12"/>
      <c r="Q18" s="12"/>
      <c r="R18" s="12"/>
    </row>
    <row r="19" s="1" customFormat="1" spans="1:18">
      <c r="A19" s="12">
        <v>18</v>
      </c>
      <c r="B19" s="20"/>
      <c r="C19" s="20"/>
      <c r="D19" s="18" t="s">
        <v>413</v>
      </c>
      <c r="E19" s="18" t="s">
        <v>414</v>
      </c>
      <c r="F19" s="14" t="s">
        <v>359</v>
      </c>
      <c r="G19" s="19" t="s">
        <v>415</v>
      </c>
      <c r="H19" s="14"/>
      <c r="I19" s="14"/>
      <c r="J19" s="14"/>
      <c r="K19" s="18">
        <v>2</v>
      </c>
      <c r="L19" s="14" t="s">
        <v>360</v>
      </c>
      <c r="M19" s="19" t="s">
        <v>408</v>
      </c>
      <c r="N19" s="12"/>
      <c r="O19" s="12"/>
      <c r="P19" s="12"/>
      <c r="Q19" s="12"/>
      <c r="R19" s="12"/>
    </row>
    <row r="20" s="1" customFormat="1" spans="1:18">
      <c r="A20" s="12">
        <v>19</v>
      </c>
      <c r="B20" s="20"/>
      <c r="C20" s="20"/>
      <c r="D20" s="18" t="s">
        <v>416</v>
      </c>
      <c r="E20" s="18" t="s">
        <v>417</v>
      </c>
      <c r="F20" s="14" t="s">
        <v>359</v>
      </c>
      <c r="G20" s="19" t="s">
        <v>418</v>
      </c>
      <c r="H20" s="14"/>
      <c r="I20" s="14"/>
      <c r="J20" s="14"/>
      <c r="K20" s="18">
        <v>2</v>
      </c>
      <c r="L20" s="14" t="s">
        <v>360</v>
      </c>
      <c r="M20" s="19" t="s">
        <v>408</v>
      </c>
      <c r="N20" s="12"/>
      <c r="O20" s="12"/>
      <c r="P20" s="12"/>
      <c r="Q20" s="12"/>
      <c r="R20" s="12"/>
    </row>
    <row r="21" s="1" customFormat="1" spans="1:18">
      <c r="A21" s="12">
        <v>20</v>
      </c>
      <c r="B21" s="20"/>
      <c r="C21" s="20"/>
      <c r="D21" s="18" t="s">
        <v>419</v>
      </c>
      <c r="E21" s="18" t="s">
        <v>420</v>
      </c>
      <c r="F21" s="14" t="s">
        <v>359</v>
      </c>
      <c r="G21" s="19" t="s">
        <v>421</v>
      </c>
      <c r="H21" s="14"/>
      <c r="I21" s="14"/>
      <c r="J21" s="14"/>
      <c r="K21" s="18">
        <v>2</v>
      </c>
      <c r="L21" s="14" t="s">
        <v>360</v>
      </c>
      <c r="M21" s="19" t="s">
        <v>408</v>
      </c>
      <c r="N21" s="12"/>
      <c r="O21" s="12"/>
      <c r="P21" s="12"/>
      <c r="Q21" s="12"/>
      <c r="R21" s="12"/>
    </row>
    <row r="22" s="1" customFormat="1" spans="1:18">
      <c r="A22" s="12">
        <v>21</v>
      </c>
      <c r="B22" s="21"/>
      <c r="C22" s="21"/>
      <c r="D22" s="18" t="s">
        <v>422</v>
      </c>
      <c r="E22" s="18" t="s">
        <v>423</v>
      </c>
      <c r="F22" s="14" t="s">
        <v>359</v>
      </c>
      <c r="G22" s="19" t="s">
        <v>424</v>
      </c>
      <c r="H22" s="14"/>
      <c r="I22" s="14"/>
      <c r="J22" s="14"/>
      <c r="K22" s="18">
        <v>2</v>
      </c>
      <c r="L22" s="14" t="s">
        <v>360</v>
      </c>
      <c r="M22" s="19" t="s">
        <v>408</v>
      </c>
      <c r="N22" s="12"/>
      <c r="O22" s="12"/>
      <c r="P22" s="12"/>
      <c r="Q22" s="12"/>
      <c r="R22" s="12"/>
    </row>
    <row r="23" s="1" customFormat="1" ht="46.8" spans="1:18">
      <c r="A23" s="12">
        <v>22</v>
      </c>
      <c r="B23" s="17" t="s">
        <v>428</v>
      </c>
      <c r="C23" s="17">
        <v>10</v>
      </c>
      <c r="D23" s="18" t="s">
        <v>425</v>
      </c>
      <c r="E23" s="18" t="s">
        <v>426</v>
      </c>
      <c r="F23" s="14" t="s">
        <v>359</v>
      </c>
      <c r="G23" s="19"/>
      <c r="H23" s="14"/>
      <c r="I23" s="14"/>
      <c r="J23" s="14"/>
      <c r="K23" s="18">
        <v>1</v>
      </c>
      <c r="L23" s="14" t="s">
        <v>427</v>
      </c>
      <c r="M23" s="19" t="s">
        <v>408</v>
      </c>
      <c r="N23" s="12"/>
      <c r="O23" s="12"/>
      <c r="P23" s="12"/>
      <c r="Q23" s="12"/>
      <c r="R23" s="12"/>
    </row>
    <row r="24" s="1" customFormat="1" spans="1:18">
      <c r="A24" s="12">
        <v>23</v>
      </c>
      <c r="B24" s="17" t="s">
        <v>432</v>
      </c>
      <c r="C24" s="17"/>
      <c r="D24" s="18" t="s">
        <v>429</v>
      </c>
      <c r="E24" s="18" t="s">
        <v>406</v>
      </c>
      <c r="F24" s="14" t="s">
        <v>359</v>
      </c>
      <c r="G24" s="19" t="s">
        <v>430</v>
      </c>
      <c r="H24" s="14"/>
      <c r="I24" s="14"/>
      <c r="J24" s="14"/>
      <c r="K24" s="18">
        <v>1</v>
      </c>
      <c r="L24" s="14" t="s">
        <v>360</v>
      </c>
      <c r="M24" s="19" t="s">
        <v>431</v>
      </c>
      <c r="N24" s="12"/>
      <c r="O24" s="12"/>
      <c r="P24" s="12"/>
      <c r="Q24" s="12"/>
      <c r="R24" s="12"/>
    </row>
    <row r="25" s="1" customFormat="1" spans="1:18">
      <c r="A25" s="12">
        <v>24</v>
      </c>
      <c r="B25" s="20"/>
      <c r="C25" s="20"/>
      <c r="D25" s="18" t="s">
        <v>433</v>
      </c>
      <c r="E25" s="14" t="s">
        <v>434</v>
      </c>
      <c r="F25" s="14" t="s">
        <v>359</v>
      </c>
      <c r="G25" s="19" t="s">
        <v>435</v>
      </c>
      <c r="H25" s="14"/>
      <c r="I25" s="14"/>
      <c r="J25" s="14"/>
      <c r="K25" s="18">
        <v>17</v>
      </c>
      <c r="L25" s="14" t="s">
        <v>360</v>
      </c>
      <c r="M25" s="19" t="s">
        <v>431</v>
      </c>
      <c r="N25" s="12"/>
      <c r="O25" s="12"/>
      <c r="P25" s="12"/>
      <c r="Q25" s="12"/>
      <c r="R25" s="12"/>
    </row>
    <row r="26" s="1" customFormat="1" spans="1:18">
      <c r="A26" s="12">
        <v>25</v>
      </c>
      <c r="B26" s="20"/>
      <c r="C26" s="20"/>
      <c r="D26" s="22" t="s">
        <v>436</v>
      </c>
      <c r="E26" s="18" t="s">
        <v>437</v>
      </c>
      <c r="F26" s="14" t="s">
        <v>359</v>
      </c>
      <c r="G26" s="19" t="s">
        <v>438</v>
      </c>
      <c r="H26" s="14"/>
      <c r="I26" s="14"/>
      <c r="J26" s="14"/>
      <c r="K26" s="18">
        <v>17</v>
      </c>
      <c r="L26" s="14" t="s">
        <v>360</v>
      </c>
      <c r="M26" s="19" t="s">
        <v>431</v>
      </c>
      <c r="N26" s="12"/>
      <c r="O26" s="12"/>
      <c r="P26" s="12"/>
      <c r="Q26" s="12"/>
      <c r="R26" s="12"/>
    </row>
    <row r="27" s="1" customFormat="1" spans="1:18">
      <c r="A27" s="12">
        <v>26</v>
      </c>
      <c r="B27" s="20"/>
      <c r="C27" s="20"/>
      <c r="D27" s="22" t="s">
        <v>439</v>
      </c>
      <c r="E27" s="18" t="s">
        <v>440</v>
      </c>
      <c r="F27" s="14" t="s">
        <v>359</v>
      </c>
      <c r="G27" s="19" t="s">
        <v>441</v>
      </c>
      <c r="H27" s="14"/>
      <c r="I27" s="14"/>
      <c r="J27" s="14"/>
      <c r="K27" s="18">
        <v>1</v>
      </c>
      <c r="L27" s="14" t="s">
        <v>360</v>
      </c>
      <c r="M27" s="19" t="s">
        <v>431</v>
      </c>
      <c r="N27" s="12"/>
      <c r="O27" s="12"/>
      <c r="P27" s="12"/>
      <c r="Q27" s="12"/>
      <c r="R27" s="12"/>
    </row>
    <row r="28" s="1" customFormat="1" spans="1:18">
      <c r="A28" s="12">
        <v>27</v>
      </c>
      <c r="B28" s="21"/>
      <c r="C28" s="21"/>
      <c r="D28" s="22" t="s">
        <v>442</v>
      </c>
      <c r="E28" s="18" t="s">
        <v>443</v>
      </c>
      <c r="F28" s="14" t="s">
        <v>359</v>
      </c>
      <c r="G28" s="19" t="s">
        <v>444</v>
      </c>
      <c r="H28" s="14"/>
      <c r="I28" s="14"/>
      <c r="J28" s="14"/>
      <c r="K28" s="18">
        <v>4</v>
      </c>
      <c r="L28" s="14" t="s">
        <v>360</v>
      </c>
      <c r="M28" s="19" t="s">
        <v>431</v>
      </c>
      <c r="N28" s="12"/>
      <c r="O28" s="12"/>
      <c r="P28" s="12"/>
      <c r="Q28" s="12"/>
      <c r="R28" s="12"/>
    </row>
    <row r="29" s="1" customFormat="1" spans="1:18">
      <c r="A29" s="12">
        <v>28</v>
      </c>
      <c r="B29" s="17" t="s">
        <v>453</v>
      </c>
      <c r="C29" s="17"/>
      <c r="D29" s="18" t="s">
        <v>450</v>
      </c>
      <c r="E29" s="18" t="s">
        <v>451</v>
      </c>
      <c r="F29" s="14" t="s">
        <v>359</v>
      </c>
      <c r="G29" s="19" t="s">
        <v>452</v>
      </c>
      <c r="H29" s="14"/>
      <c r="I29" s="14"/>
      <c r="J29" s="14"/>
      <c r="K29" s="18">
        <v>1</v>
      </c>
      <c r="L29" s="14" t="s">
        <v>360</v>
      </c>
      <c r="M29" s="19" t="s">
        <v>361</v>
      </c>
      <c r="N29" s="12"/>
      <c r="O29" s="12"/>
      <c r="P29" s="12"/>
      <c r="Q29" s="12"/>
      <c r="R29" s="12"/>
    </row>
    <row r="30" s="1" customFormat="1" spans="1:18">
      <c r="A30" s="12">
        <v>29</v>
      </c>
      <c r="B30" s="20"/>
      <c r="C30" s="20"/>
      <c r="D30" s="18" t="s">
        <v>454</v>
      </c>
      <c r="E30" s="18" t="s">
        <v>455</v>
      </c>
      <c r="F30" s="14" t="s">
        <v>359</v>
      </c>
      <c r="G30" s="19" t="s">
        <v>456</v>
      </c>
      <c r="H30" s="14"/>
      <c r="I30" s="14"/>
      <c r="J30" s="14"/>
      <c r="K30" s="18">
        <v>9</v>
      </c>
      <c r="L30" s="14" t="s">
        <v>360</v>
      </c>
      <c r="M30" s="19" t="s">
        <v>361</v>
      </c>
      <c r="N30" s="12"/>
      <c r="O30" s="12"/>
      <c r="P30" s="12"/>
      <c r="Q30" s="12"/>
      <c r="R30" s="12"/>
    </row>
    <row r="31" s="1" customFormat="1" spans="1:18">
      <c r="A31" s="12">
        <v>30</v>
      </c>
      <c r="B31" s="20"/>
      <c r="C31" s="20"/>
      <c r="D31" s="18" t="s">
        <v>457</v>
      </c>
      <c r="E31" s="18" t="s">
        <v>458</v>
      </c>
      <c r="F31" s="14" t="s">
        <v>359</v>
      </c>
      <c r="G31" s="19" t="s">
        <v>459</v>
      </c>
      <c r="H31" s="14"/>
      <c r="I31" s="14"/>
      <c r="J31" s="14"/>
      <c r="K31" s="18">
        <v>9</v>
      </c>
      <c r="L31" s="14" t="s">
        <v>360</v>
      </c>
      <c r="M31" s="19" t="s">
        <v>361</v>
      </c>
      <c r="N31" s="12"/>
      <c r="O31" s="12"/>
      <c r="P31" s="12"/>
      <c r="Q31" s="12"/>
      <c r="R31" s="12"/>
    </row>
    <row r="32" s="1" customFormat="1" spans="1:18">
      <c r="A32" s="12">
        <v>31</v>
      </c>
      <c r="B32" s="21"/>
      <c r="C32" s="21"/>
      <c r="D32" s="18" t="s">
        <v>460</v>
      </c>
      <c r="E32" s="18" t="s">
        <v>458</v>
      </c>
      <c r="F32" s="14" t="s">
        <v>359</v>
      </c>
      <c r="G32" s="19" t="s">
        <v>461</v>
      </c>
      <c r="H32" s="14"/>
      <c r="I32" s="14"/>
      <c r="J32" s="14"/>
      <c r="K32" s="18">
        <v>1</v>
      </c>
      <c r="L32" s="14" t="s">
        <v>360</v>
      </c>
      <c r="M32" s="19" t="s">
        <v>361</v>
      </c>
      <c r="N32" s="12"/>
      <c r="O32" s="12"/>
      <c r="P32" s="12"/>
      <c r="Q32" s="12"/>
      <c r="R32" s="12"/>
    </row>
    <row r="33" s="1" customFormat="1" spans="1:18">
      <c r="A33" s="12">
        <v>32</v>
      </c>
      <c r="B33" s="18" t="s">
        <v>464</v>
      </c>
      <c r="C33" s="18"/>
      <c r="D33" s="18" t="s">
        <v>462</v>
      </c>
      <c r="E33" s="18" t="s">
        <v>451</v>
      </c>
      <c r="F33" s="14" t="s">
        <v>359</v>
      </c>
      <c r="G33" s="18" t="s">
        <v>463</v>
      </c>
      <c r="H33" s="14"/>
      <c r="I33" s="14"/>
      <c r="J33" s="14"/>
      <c r="K33" s="18">
        <v>1</v>
      </c>
      <c r="L33" s="14" t="s">
        <v>360</v>
      </c>
      <c r="M33" s="19" t="s">
        <v>361</v>
      </c>
      <c r="N33" s="12"/>
      <c r="O33" s="12"/>
      <c r="P33" s="12"/>
      <c r="Q33" s="12"/>
      <c r="R33" s="12"/>
    </row>
    <row r="34" s="1" customFormat="1" spans="1:18">
      <c r="A34" s="12">
        <v>33</v>
      </c>
      <c r="B34" s="18"/>
      <c r="C34" s="18"/>
      <c r="D34" s="18" t="s">
        <v>465</v>
      </c>
      <c r="E34" s="18" t="s">
        <v>455</v>
      </c>
      <c r="F34" s="14" t="s">
        <v>359</v>
      </c>
      <c r="G34" s="18" t="s">
        <v>466</v>
      </c>
      <c r="H34" s="14"/>
      <c r="I34" s="14"/>
      <c r="J34" s="14"/>
      <c r="K34" s="18">
        <v>6</v>
      </c>
      <c r="L34" s="14" t="s">
        <v>360</v>
      </c>
      <c r="M34" s="19" t="s">
        <v>431</v>
      </c>
      <c r="N34" s="12"/>
      <c r="O34" s="12"/>
      <c r="P34" s="12"/>
      <c r="Q34" s="12"/>
      <c r="R34" s="12"/>
    </row>
    <row r="35" s="1" customFormat="1" spans="1:18">
      <c r="A35" s="12">
        <v>34</v>
      </c>
      <c r="B35" s="18"/>
      <c r="C35" s="18"/>
      <c r="D35" s="18" t="s">
        <v>457</v>
      </c>
      <c r="E35" s="18" t="s">
        <v>458</v>
      </c>
      <c r="F35" s="14" t="s">
        <v>359</v>
      </c>
      <c r="G35" s="18" t="s">
        <v>459</v>
      </c>
      <c r="H35" s="14"/>
      <c r="I35" s="14"/>
      <c r="J35" s="14"/>
      <c r="K35" s="18">
        <v>6</v>
      </c>
      <c r="L35" s="14" t="s">
        <v>360</v>
      </c>
      <c r="M35" s="19" t="s">
        <v>361</v>
      </c>
      <c r="N35" s="12"/>
      <c r="O35" s="12"/>
      <c r="P35" s="12"/>
      <c r="Q35" s="12"/>
      <c r="R35" s="12"/>
    </row>
    <row r="36" s="1" customFormat="1" spans="1:18">
      <c r="A36" s="12">
        <v>35</v>
      </c>
      <c r="B36" s="17" t="s">
        <v>469</v>
      </c>
      <c r="C36" s="17"/>
      <c r="D36" s="18" t="s">
        <v>467</v>
      </c>
      <c r="E36" s="18" t="s">
        <v>406</v>
      </c>
      <c r="F36" s="14" t="s">
        <v>359</v>
      </c>
      <c r="G36" s="18" t="s">
        <v>468</v>
      </c>
      <c r="H36" s="14"/>
      <c r="I36" s="14"/>
      <c r="J36" s="14"/>
      <c r="K36" s="18">
        <v>1</v>
      </c>
      <c r="L36" s="14" t="s">
        <v>360</v>
      </c>
      <c r="M36" s="19" t="s">
        <v>431</v>
      </c>
      <c r="N36" s="23"/>
      <c r="O36" s="12"/>
      <c r="P36" s="12"/>
      <c r="Q36" s="12"/>
      <c r="R36" s="12"/>
    </row>
    <row r="37" s="1" customFormat="1" spans="1:18">
      <c r="A37" s="12">
        <v>36</v>
      </c>
      <c r="B37" s="20"/>
      <c r="C37" s="20"/>
      <c r="D37" s="18" t="s">
        <v>470</v>
      </c>
      <c r="E37" s="18" t="s">
        <v>455</v>
      </c>
      <c r="F37" s="14" t="s">
        <v>359</v>
      </c>
      <c r="G37" s="18" t="s">
        <v>471</v>
      </c>
      <c r="H37" s="14"/>
      <c r="I37" s="14"/>
      <c r="J37" s="14"/>
      <c r="K37" s="18">
        <v>3</v>
      </c>
      <c r="L37" s="14" t="s">
        <v>360</v>
      </c>
      <c r="M37" s="19" t="s">
        <v>431</v>
      </c>
      <c r="N37" s="12"/>
      <c r="O37" s="12"/>
      <c r="P37" s="12"/>
      <c r="Q37" s="12"/>
      <c r="R37" s="12"/>
    </row>
    <row r="38" s="1" customFormat="1" spans="1:18">
      <c r="A38" s="12">
        <v>37</v>
      </c>
      <c r="B38" s="20"/>
      <c r="C38" s="20"/>
      <c r="D38" s="18" t="s">
        <v>472</v>
      </c>
      <c r="E38" s="18" t="s">
        <v>458</v>
      </c>
      <c r="F38" s="14" t="s">
        <v>359</v>
      </c>
      <c r="G38" s="18" t="s">
        <v>473</v>
      </c>
      <c r="H38" s="14"/>
      <c r="I38" s="14"/>
      <c r="J38" s="14"/>
      <c r="K38" s="18">
        <v>3</v>
      </c>
      <c r="L38" s="14" t="s">
        <v>360</v>
      </c>
      <c r="M38" s="19" t="s">
        <v>431</v>
      </c>
      <c r="N38" s="12"/>
      <c r="O38" s="12"/>
      <c r="P38" s="12"/>
      <c r="Q38" s="12"/>
      <c r="R38" s="12"/>
    </row>
    <row r="39" s="1" customFormat="1" spans="1:18">
      <c r="A39" s="12">
        <v>38</v>
      </c>
      <c r="B39" s="21"/>
      <c r="C39" s="21"/>
      <c r="D39" s="18" t="s">
        <v>474</v>
      </c>
      <c r="E39" s="18" t="s">
        <v>475</v>
      </c>
      <c r="F39" s="14" t="s">
        <v>359</v>
      </c>
      <c r="G39" s="18" t="s">
        <v>476</v>
      </c>
      <c r="H39" s="14"/>
      <c r="I39" s="14"/>
      <c r="J39" s="14"/>
      <c r="K39" s="18">
        <v>1</v>
      </c>
      <c r="L39" s="14" t="s">
        <v>360</v>
      </c>
      <c r="M39" s="19" t="s">
        <v>431</v>
      </c>
      <c r="N39" s="12"/>
      <c r="O39" s="12"/>
      <c r="P39" s="12"/>
      <c r="Q39" s="12"/>
      <c r="R39" s="12"/>
    </row>
    <row r="40" s="1" customFormat="1" spans="1:18">
      <c r="A40" s="12">
        <v>39</v>
      </c>
      <c r="B40" s="13" t="s">
        <v>617</v>
      </c>
      <c r="C40" s="13">
        <v>24</v>
      </c>
      <c r="D40" s="24" t="s">
        <v>615</v>
      </c>
      <c r="E40" s="13" t="s">
        <v>406</v>
      </c>
      <c r="F40" s="13" t="s">
        <v>359</v>
      </c>
      <c r="G40" s="13" t="s">
        <v>616</v>
      </c>
      <c r="H40" s="13"/>
      <c r="I40" s="13"/>
      <c r="J40" s="13"/>
      <c r="K40" s="13">
        <v>1</v>
      </c>
      <c r="L40" s="13" t="s">
        <v>360</v>
      </c>
      <c r="M40" s="13" t="s">
        <v>408</v>
      </c>
      <c r="N40" s="13"/>
      <c r="O40" s="25"/>
      <c r="P40" s="12"/>
      <c r="Q40" s="12"/>
      <c r="R40" s="12"/>
    </row>
    <row r="41" s="1" customFormat="1" spans="1:18">
      <c r="A41" s="12">
        <v>40</v>
      </c>
      <c r="B41" s="13"/>
      <c r="C41" s="13"/>
      <c r="D41" s="24" t="s">
        <v>410</v>
      </c>
      <c r="E41" s="13" t="s">
        <v>411</v>
      </c>
      <c r="F41" s="13" t="s">
        <v>359</v>
      </c>
      <c r="G41" s="13" t="s">
        <v>412</v>
      </c>
      <c r="H41" s="13"/>
      <c r="I41" s="13"/>
      <c r="J41" s="13"/>
      <c r="K41" s="13">
        <v>2</v>
      </c>
      <c r="L41" s="13" t="s">
        <v>360</v>
      </c>
      <c r="M41" s="13" t="s">
        <v>408</v>
      </c>
      <c r="N41" s="13"/>
      <c r="O41" s="25"/>
      <c r="P41" s="12"/>
      <c r="Q41" s="12"/>
      <c r="R41" s="12"/>
    </row>
    <row r="42" s="1" customFormat="1" spans="1:18">
      <c r="A42" s="12">
        <v>41</v>
      </c>
      <c r="B42" s="13"/>
      <c r="C42" s="13"/>
      <c r="D42" s="24" t="s">
        <v>618</v>
      </c>
      <c r="E42" s="13" t="s">
        <v>414</v>
      </c>
      <c r="F42" s="13" t="s">
        <v>359</v>
      </c>
      <c r="G42" s="13" t="s">
        <v>619</v>
      </c>
      <c r="H42" s="13"/>
      <c r="I42" s="13"/>
      <c r="J42" s="13"/>
      <c r="K42" s="13">
        <v>2</v>
      </c>
      <c r="L42" s="13" t="s">
        <v>360</v>
      </c>
      <c r="M42" s="13" t="s">
        <v>408</v>
      </c>
      <c r="N42" s="13"/>
      <c r="O42" s="25"/>
      <c r="P42" s="12"/>
      <c r="Q42" s="12"/>
      <c r="R42" s="12"/>
    </row>
    <row r="43" s="1" customFormat="1" spans="1:18">
      <c r="A43" s="12">
        <v>42</v>
      </c>
      <c r="B43" s="13"/>
      <c r="C43" s="13"/>
      <c r="D43" s="24" t="s">
        <v>620</v>
      </c>
      <c r="E43" s="13" t="s">
        <v>621</v>
      </c>
      <c r="F43" s="13" t="s">
        <v>359</v>
      </c>
      <c r="G43" s="13" t="s">
        <v>622</v>
      </c>
      <c r="H43" s="13"/>
      <c r="I43" s="13"/>
      <c r="J43" s="13"/>
      <c r="K43" s="13">
        <v>2</v>
      </c>
      <c r="L43" s="13" t="s">
        <v>360</v>
      </c>
      <c r="M43" s="13" t="s">
        <v>408</v>
      </c>
      <c r="N43" s="13"/>
      <c r="O43" s="25"/>
      <c r="P43" s="12"/>
      <c r="Q43" s="12"/>
      <c r="R43" s="12"/>
    </row>
    <row r="44" s="1" customFormat="1" spans="1:18">
      <c r="A44" s="12">
        <v>43</v>
      </c>
      <c r="B44" s="13"/>
      <c r="C44" s="13"/>
      <c r="D44" s="24" t="s">
        <v>623</v>
      </c>
      <c r="E44" s="13" t="s">
        <v>624</v>
      </c>
      <c r="F44" s="13" t="s">
        <v>359</v>
      </c>
      <c r="G44" s="13" t="s">
        <v>625</v>
      </c>
      <c r="H44" s="13"/>
      <c r="I44" s="13"/>
      <c r="J44" s="13"/>
      <c r="K44" s="13">
        <v>2</v>
      </c>
      <c r="L44" s="13" t="s">
        <v>360</v>
      </c>
      <c r="M44" s="13" t="s">
        <v>408</v>
      </c>
      <c r="N44" s="13"/>
      <c r="O44" s="25"/>
      <c r="P44" s="12"/>
      <c r="Q44" s="12"/>
      <c r="R44" s="12"/>
    </row>
    <row r="45" s="1" customFormat="1" spans="1:18">
      <c r="A45" s="12">
        <v>44</v>
      </c>
      <c r="B45" s="13"/>
      <c r="C45" s="13"/>
      <c r="D45" s="24" t="s">
        <v>626</v>
      </c>
      <c r="E45" s="13" t="s">
        <v>627</v>
      </c>
      <c r="F45" s="13" t="s">
        <v>359</v>
      </c>
      <c r="G45" s="13" t="s">
        <v>628</v>
      </c>
      <c r="H45" s="13"/>
      <c r="I45" s="13"/>
      <c r="J45" s="13"/>
      <c r="K45" s="13">
        <v>2</v>
      </c>
      <c r="L45" s="13" t="s">
        <v>360</v>
      </c>
      <c r="M45" s="13" t="s">
        <v>408</v>
      </c>
      <c r="N45" s="13"/>
      <c r="O45" s="25"/>
      <c r="P45" s="12"/>
      <c r="Q45" s="12"/>
      <c r="R45" s="12"/>
    </row>
    <row r="46" s="1" customFormat="1" spans="1:18">
      <c r="A46" s="12">
        <v>45</v>
      </c>
      <c r="B46" s="13"/>
      <c r="C46" s="13"/>
      <c r="D46" s="24" t="s">
        <v>629</v>
      </c>
      <c r="E46" s="13" t="s">
        <v>630</v>
      </c>
      <c r="F46" s="13" t="s">
        <v>359</v>
      </c>
      <c r="G46" s="13" t="s">
        <v>631</v>
      </c>
      <c r="H46" s="13"/>
      <c r="I46" s="13"/>
      <c r="J46" s="13"/>
      <c r="K46" s="13">
        <v>2</v>
      </c>
      <c r="L46" s="13" t="s">
        <v>360</v>
      </c>
      <c r="M46" s="13" t="s">
        <v>408</v>
      </c>
      <c r="N46" s="13"/>
      <c r="O46" s="25"/>
      <c r="P46" s="12"/>
      <c r="Q46" s="12"/>
      <c r="R46" s="12"/>
    </row>
    <row r="47" s="1" customFormat="1" spans="1:18">
      <c r="A47" s="12">
        <v>46</v>
      </c>
      <c r="B47" s="13"/>
      <c r="C47" s="13"/>
      <c r="D47" s="24" t="s">
        <v>632</v>
      </c>
      <c r="E47" s="13" t="s">
        <v>633</v>
      </c>
      <c r="F47" s="13" t="s">
        <v>359</v>
      </c>
      <c r="G47" s="13" t="s">
        <v>634</v>
      </c>
      <c r="H47" s="13"/>
      <c r="I47" s="12"/>
      <c r="J47" s="12"/>
      <c r="K47" s="12">
        <v>2</v>
      </c>
      <c r="L47" s="12" t="s">
        <v>360</v>
      </c>
      <c r="M47" s="12" t="s">
        <v>408</v>
      </c>
      <c r="N47" s="13"/>
      <c r="O47" s="25"/>
      <c r="P47" s="12"/>
      <c r="Q47" s="12"/>
      <c r="R47" s="12"/>
    </row>
    <row r="48" s="1" customFormat="1" spans="1:18">
      <c r="A48" s="12">
        <v>47</v>
      </c>
      <c r="B48" s="13" t="s">
        <v>638</v>
      </c>
      <c r="C48" s="13"/>
      <c r="D48" s="24" t="s">
        <v>635</v>
      </c>
      <c r="E48" s="13" t="s">
        <v>636</v>
      </c>
      <c r="F48" s="13" t="s">
        <v>359</v>
      </c>
      <c r="G48" s="13" t="s">
        <v>637</v>
      </c>
      <c r="H48" s="14"/>
      <c r="I48" s="13"/>
      <c r="J48" s="13"/>
      <c r="K48" s="13">
        <v>1</v>
      </c>
      <c r="L48" s="13" t="s">
        <v>360</v>
      </c>
      <c r="M48" s="13" t="s">
        <v>361</v>
      </c>
      <c r="N48" s="13"/>
      <c r="O48" s="25"/>
      <c r="P48" s="12"/>
      <c r="Q48" s="12"/>
      <c r="R48" s="12"/>
    </row>
    <row r="49" s="1" customFormat="1" spans="1:18">
      <c r="A49" s="12">
        <v>48</v>
      </c>
      <c r="B49" s="13"/>
      <c r="C49" s="13"/>
      <c r="D49" s="13" t="s">
        <v>639</v>
      </c>
      <c r="E49" s="13" t="s">
        <v>640</v>
      </c>
      <c r="F49" s="13" t="s">
        <v>359</v>
      </c>
      <c r="G49" s="13" t="s">
        <v>641</v>
      </c>
      <c r="H49" s="14"/>
      <c r="I49" s="13"/>
      <c r="J49" s="13"/>
      <c r="K49" s="13">
        <v>2</v>
      </c>
      <c r="L49" s="13" t="s">
        <v>360</v>
      </c>
      <c r="M49" s="13" t="s">
        <v>361</v>
      </c>
      <c r="N49" s="13"/>
      <c r="O49" s="25"/>
      <c r="P49" s="12"/>
      <c r="Q49" s="12"/>
      <c r="R49" s="12"/>
    </row>
    <row r="50" s="1" customFormat="1" spans="1:18">
      <c r="A50" s="12">
        <v>49</v>
      </c>
      <c r="B50" s="13"/>
      <c r="C50" s="13"/>
      <c r="D50" s="13" t="s">
        <v>642</v>
      </c>
      <c r="E50" s="13" t="s">
        <v>643</v>
      </c>
      <c r="F50" s="13" t="s">
        <v>359</v>
      </c>
      <c r="G50" s="13" t="s">
        <v>644</v>
      </c>
      <c r="H50" s="13"/>
      <c r="I50" s="13"/>
      <c r="J50" s="13"/>
      <c r="K50" s="13">
        <v>2</v>
      </c>
      <c r="L50" s="13" t="s">
        <v>360</v>
      </c>
      <c r="M50" s="13" t="s">
        <v>361</v>
      </c>
      <c r="N50" s="13"/>
      <c r="O50" s="25"/>
      <c r="P50" s="12"/>
      <c r="Q50" s="12"/>
      <c r="R50" s="12"/>
    </row>
    <row r="51" s="1" customFormat="1" spans="1:18">
      <c r="A51" s="12">
        <v>50</v>
      </c>
      <c r="B51" s="13"/>
      <c r="C51" s="13"/>
      <c r="D51" s="13" t="s">
        <v>645</v>
      </c>
      <c r="E51" s="13" t="s">
        <v>646</v>
      </c>
      <c r="F51" s="13" t="s">
        <v>359</v>
      </c>
      <c r="G51" s="13" t="s">
        <v>647</v>
      </c>
      <c r="H51" s="13"/>
      <c r="I51" s="13"/>
      <c r="J51" s="13"/>
      <c r="K51" s="13">
        <v>2</v>
      </c>
      <c r="L51" s="13" t="s">
        <v>360</v>
      </c>
      <c r="M51" s="13" t="s">
        <v>361</v>
      </c>
      <c r="N51" s="13"/>
      <c r="O51" s="25"/>
      <c r="P51" s="12"/>
      <c r="Q51" s="12"/>
      <c r="R51" s="12"/>
    </row>
    <row r="52" s="1" customFormat="1" spans="1:18">
      <c r="A52" s="12">
        <v>51</v>
      </c>
      <c r="B52" s="13"/>
      <c r="C52" s="13"/>
      <c r="D52" s="13" t="s">
        <v>648</v>
      </c>
      <c r="E52" s="13" t="s">
        <v>649</v>
      </c>
      <c r="F52" s="13" t="s">
        <v>359</v>
      </c>
      <c r="G52" s="13" t="s">
        <v>650</v>
      </c>
      <c r="H52" s="13"/>
      <c r="I52" s="13"/>
      <c r="J52" s="13"/>
      <c r="K52" s="13">
        <v>2</v>
      </c>
      <c r="L52" s="13" t="s">
        <v>360</v>
      </c>
      <c r="M52" s="13" t="s">
        <v>361</v>
      </c>
      <c r="N52" s="13"/>
      <c r="O52" s="25"/>
      <c r="P52" s="12"/>
      <c r="Q52" s="12"/>
      <c r="R52" s="12"/>
    </row>
    <row r="53" s="1" customFormat="1" spans="1:18">
      <c r="A53" s="12">
        <v>52</v>
      </c>
      <c r="B53" s="13"/>
      <c r="C53" s="13"/>
      <c r="D53" s="13" t="s">
        <v>651</v>
      </c>
      <c r="E53" s="13" t="s">
        <v>458</v>
      </c>
      <c r="F53" s="13" t="s">
        <v>359</v>
      </c>
      <c r="G53" s="13" t="s">
        <v>652</v>
      </c>
      <c r="H53" s="14"/>
      <c r="I53" s="13"/>
      <c r="J53" s="13"/>
      <c r="K53" s="13">
        <v>1</v>
      </c>
      <c r="L53" s="13" t="s">
        <v>360</v>
      </c>
      <c r="M53" s="13" t="s">
        <v>361</v>
      </c>
      <c r="N53" s="13"/>
      <c r="O53" s="25"/>
      <c r="P53" s="12"/>
      <c r="Q53" s="12"/>
      <c r="R53" s="12"/>
    </row>
    <row r="54" s="1" customFormat="1" spans="1:18">
      <c r="A54" s="12">
        <v>53</v>
      </c>
      <c r="B54" s="13"/>
      <c r="C54" s="13"/>
      <c r="D54" s="13" t="s">
        <v>653</v>
      </c>
      <c r="E54" s="13" t="s">
        <v>654</v>
      </c>
      <c r="F54" s="13" t="s">
        <v>359</v>
      </c>
      <c r="G54" s="13" t="s">
        <v>655</v>
      </c>
      <c r="H54" s="26"/>
      <c r="I54" s="13"/>
      <c r="J54" s="13"/>
      <c r="K54" s="13">
        <v>1</v>
      </c>
      <c r="L54" s="13" t="s">
        <v>360</v>
      </c>
      <c r="M54" s="13" t="s">
        <v>361</v>
      </c>
      <c r="N54" s="13"/>
      <c r="O54" s="25"/>
      <c r="P54" s="12"/>
      <c r="Q54" s="12"/>
      <c r="R54" s="12"/>
    </row>
    <row r="55" s="1" customFormat="1" spans="1:18">
      <c r="A55" s="12">
        <v>54</v>
      </c>
      <c r="B55" s="13"/>
      <c r="C55" s="13"/>
      <c r="D55" s="13" t="s">
        <v>656</v>
      </c>
      <c r="E55" s="13" t="s">
        <v>657</v>
      </c>
      <c r="F55" s="13" t="s">
        <v>359</v>
      </c>
      <c r="G55" s="13" t="s">
        <v>658</v>
      </c>
      <c r="H55" s="13"/>
      <c r="I55" s="13"/>
      <c r="J55" s="13"/>
      <c r="K55" s="13">
        <v>1</v>
      </c>
      <c r="L55" s="13" t="s">
        <v>360</v>
      </c>
      <c r="M55" s="13" t="s">
        <v>361</v>
      </c>
      <c r="N55" s="13"/>
      <c r="O55" s="25"/>
      <c r="P55" s="12"/>
      <c r="Q55" s="12"/>
      <c r="R55" s="12"/>
    </row>
    <row r="56" s="1" customFormat="1" spans="1:18">
      <c r="A56" s="12">
        <v>55</v>
      </c>
      <c r="B56" s="13"/>
      <c r="C56" s="13"/>
      <c r="D56" s="13" t="s">
        <v>659</v>
      </c>
      <c r="E56" s="13" t="s">
        <v>660</v>
      </c>
      <c r="F56" s="13" t="s">
        <v>359</v>
      </c>
      <c r="G56" s="13" t="s">
        <v>661</v>
      </c>
      <c r="H56" s="14"/>
      <c r="I56" s="13"/>
      <c r="J56" s="13"/>
      <c r="K56" s="13">
        <v>1</v>
      </c>
      <c r="L56" s="13" t="s">
        <v>360</v>
      </c>
      <c r="M56" s="13" t="s">
        <v>361</v>
      </c>
      <c r="N56" s="13"/>
      <c r="O56" s="25"/>
      <c r="P56" s="12"/>
      <c r="Q56" s="12"/>
      <c r="R56" s="12"/>
    </row>
    <row r="57" s="1" customFormat="1" spans="1:18">
      <c r="A57" s="12">
        <v>56</v>
      </c>
      <c r="B57" s="13"/>
      <c r="C57" s="13"/>
      <c r="D57" s="13" t="s">
        <v>662</v>
      </c>
      <c r="E57" s="13" t="s">
        <v>663</v>
      </c>
      <c r="F57" s="13" t="s">
        <v>359</v>
      </c>
      <c r="G57" s="13" t="s">
        <v>664</v>
      </c>
      <c r="H57" s="14"/>
      <c r="I57" s="13"/>
      <c r="J57" s="13"/>
      <c r="K57" s="13">
        <v>1</v>
      </c>
      <c r="L57" s="13" t="s">
        <v>360</v>
      </c>
      <c r="M57" s="13" t="s">
        <v>361</v>
      </c>
      <c r="N57" s="13"/>
      <c r="O57" s="25"/>
      <c r="P57" s="12"/>
      <c r="Q57" s="12"/>
      <c r="R57" s="12"/>
    </row>
  </sheetData>
  <autoFilter xmlns:etc="http://www.wps.cn/officeDocument/2017/etCustomData" ref="A1:R57" etc:filterBottomFollowUsedRange="0">
    <extLst/>
  </autoFilter>
  <mergeCells count="16">
    <mergeCell ref="B2:B16"/>
    <mergeCell ref="B17:B22"/>
    <mergeCell ref="B24:B28"/>
    <mergeCell ref="B29:B32"/>
    <mergeCell ref="B33:B35"/>
    <mergeCell ref="B36:B39"/>
    <mergeCell ref="B40:B47"/>
    <mergeCell ref="B48:B57"/>
    <mergeCell ref="C2:C16"/>
    <mergeCell ref="C17:C22"/>
    <mergeCell ref="C24:C28"/>
    <mergeCell ref="C29:C32"/>
    <mergeCell ref="C33:C35"/>
    <mergeCell ref="C36:C39"/>
    <mergeCell ref="C40:C47"/>
    <mergeCell ref="C48:C57"/>
  </mergeCells>
  <conditionalFormatting sqref="D58:D1048576 D1">
    <cfRule type="duplicateValues" dxfId="0" priority="2"/>
  </conditionalFormatting>
  <conditionalFormatting sqref="D29:D30 D36:D39 D17:D25">
    <cfRule type="duplicateValues" dxfId="0" priority="1"/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2" master="" otherUserPermission="visible"/>
  <rangeList sheetStid="23" master="" otherUserPermission="visible"/>
  <rangeList sheetStid="45" master="" otherUserPermission="visible"/>
  <rangeList sheetStid="46" master="" otherUserPermission="visible"/>
  <rangeList sheetStid="26" master="" otherUserPermission="visible">
    <arrUserId title="区域1_4" rangeCreator="" othersAccessPermission="edit"/>
    <arrUserId title="区域1_5" rangeCreator="" othersAccessPermission="edit"/>
    <arrUserId title="区域1_4_1_2" rangeCreator="" othersAccessPermission="edit"/>
    <arrUserId title="区域1_5_1_1" rangeCreator="" othersAccessPermission="edit"/>
    <arrUserId title="区域1_4_2" rangeCreator="" othersAccessPermission="edit"/>
    <arrUserId title="区域1_4_1" rangeCreator="" othersAccessPermission="edit"/>
    <arrUserId title="区域1_5_2" rangeCreator="" othersAccessPermission="edit"/>
    <arrUserId title="区域1_4_1_1" rangeCreator="" othersAccessPermission="edit"/>
    <arrUserId title="区域1_4_1_3" rangeCreator="" othersAccessPermission="edit"/>
  </rangeList>
  <rangeList sheetStid="27" master="" otherUserPermission="visible"/>
  <rangeList sheetStid="28" master="" otherUserPermission="visible">
    <arrUserId title="区域1_11" rangeCreator="" othersAccessPermission="edit"/>
    <arrUserId title="区域1_3" rangeCreator="" othersAccessPermission="edit"/>
    <arrUserId title="区域1_3_1" rangeCreator="" othersAccessPermission="edit"/>
    <arrUserId title="区域1" rangeCreator="" othersAccessPermission="edit"/>
    <arrUserId title="区域1_11_1" rangeCreator="" othersAccessPermission="edit"/>
    <arrUserId title="区域1_2" rangeCreator="" othersAccessPermission="edit"/>
    <arrUserId title="区域1_3_2" rangeCreator="" othersAccessPermission="edit"/>
  </rangeList>
  <rangeList sheetStid="33" master="" otherUserPermission="visible"/>
  <rangeList sheetStid="17" master="" otherUserPermission="visible"/>
  <rangeList sheetStid="7" master="" otherUserPermission="visible"/>
  <rangeList sheetStid="47" master="" otherUserPermission="visible"/>
  <rangeList sheetStid="49" master="" otherUserPermission="visible"/>
  <rangeList sheetStid="4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项目汇总</vt:lpstr>
      <vt:lpstr>项目评估汇总（昆山90%）</vt:lpstr>
      <vt:lpstr>客户报价逻辑</vt:lpstr>
      <vt:lpstr>运营工时费报价基准</vt:lpstr>
      <vt:lpstr>工厂效率</vt:lpstr>
      <vt:lpstr>设备投资明细</vt:lpstr>
      <vt:lpstr>项目专用模具</vt:lpstr>
      <vt:lpstr>项目工装投入 </vt:lpstr>
      <vt:lpstr>研发费用 </vt:lpstr>
      <vt:lpstr>包装物流费用</vt:lpstr>
      <vt:lpstr>配置明细</vt:lpstr>
      <vt:lpstr>KSK线束BOM明细 </vt:lpstr>
      <vt:lpstr>二次物料明细</vt:lpstr>
      <vt:lpstr>总成散件清单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财务部-秦转利</dc:creator>
  <cp:lastModifiedBy>陶子</cp:lastModifiedBy>
  <dcterms:created xsi:type="dcterms:W3CDTF">2024-09-26T05:39:00Z</dcterms:created>
  <dcterms:modified xsi:type="dcterms:W3CDTF">2026-01-29T02:44:02Z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A3F31F8E2C604C2D843FE4912E671F39_13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